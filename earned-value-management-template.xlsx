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8nanc\OneDrive\Documents\Earned Value Management Template\itms448-Open-Source-Intelligent-Application\"/>
    </mc:Choice>
  </mc:AlternateContent>
  <xr:revisionPtr revIDLastSave="0" documentId="13_ncr:1_{E97B0ED5-E4E6-42E8-88A9-B004A7BAE6B1}" xr6:coauthVersionLast="47" xr6:coauthVersionMax="47" xr10:uidLastSave="{00000000-0000-0000-0000-000000000000}"/>
  <bookViews>
    <workbookView xWindow="-96" yWindow="0" windowWidth="11712" windowHeight="12336" xr2:uid="{00000000-000D-0000-FFFF-FFFF00000000}"/>
  </bookViews>
  <sheets>
    <sheet name="Report" sheetId="3" r:id="rId1"/>
    <sheet name="EV" sheetId="8" r:id="rId2"/>
    <sheet name="AC" sheetId="9" r:id="rId3"/>
    <sheet name="©" sheetId="11" r:id="rId4"/>
  </sheets>
  <definedNames>
    <definedName name="holidays">OFFSET(#REF!,1,0,COUNTA(#REF!),1)</definedName>
    <definedName name="_xlnm.Print_Area" localSheetId="2">AC!$A$2:$O$3</definedName>
    <definedName name="_xlnm.Print_Area" localSheetId="1">EV!$A$2:$O$3</definedName>
    <definedName name="_xlnm.Print_Area" localSheetId="0">Report!$A$1:$O$47</definedName>
    <definedName name="valuevx">42.314159</definedName>
    <definedName name="vertex42_copyright" hidden="1">"© 2012-2017 Vertex42 LLC"</definedName>
    <definedName name="vertex42_id" hidden="1">"earned-value-management.xlsx"</definedName>
    <definedName name="vertex42_title" hidden="1">"Earned Value Management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3" l="1"/>
  <c r="C18" i="8" s="1"/>
  <c r="C22" i="3"/>
  <c r="C23" i="3"/>
  <c r="C10" i="8" s="1"/>
  <c r="C9" i="8"/>
  <c r="M35" i="3"/>
  <c r="N35" i="3"/>
  <c r="O35" i="3"/>
  <c r="D35" i="3"/>
  <c r="E35" i="3"/>
  <c r="F35" i="3"/>
  <c r="G35" i="3"/>
  <c r="H35" i="3"/>
  <c r="I35" i="3"/>
  <c r="J35" i="3"/>
  <c r="K35" i="3"/>
  <c r="L35" i="3"/>
  <c r="M43" i="3"/>
  <c r="N43" i="3"/>
  <c r="O43" i="3"/>
  <c r="M44" i="3"/>
  <c r="N44" i="3"/>
  <c r="O44" i="3"/>
  <c r="M45" i="3"/>
  <c r="N45" i="3"/>
  <c r="O45" i="3"/>
  <c r="M46" i="3"/>
  <c r="N46" i="3"/>
  <c r="O46" i="3"/>
  <c r="M47" i="3"/>
  <c r="N47" i="3"/>
  <c r="O47" i="3"/>
  <c r="G36" i="3"/>
  <c r="C27" i="3"/>
  <c r="C14" i="8" s="1"/>
  <c r="C24" i="3"/>
  <c r="C11" i="8"/>
  <c r="C25" i="3"/>
  <c r="C12" i="8" s="1"/>
  <c r="C26" i="3"/>
  <c r="C13" i="8" s="1"/>
  <c r="C28" i="3"/>
  <c r="C15" i="8" s="1"/>
  <c r="C29" i="3"/>
  <c r="C16" i="8" s="1"/>
  <c r="C30" i="3"/>
  <c r="C17" i="8" s="1"/>
  <c r="C32" i="3"/>
  <c r="C19" i="8" s="1"/>
  <c r="C33" i="3"/>
  <c r="C20" i="8" s="1"/>
  <c r="K47" i="3"/>
  <c r="L47" i="3"/>
  <c r="K46" i="3"/>
  <c r="L46" i="3"/>
  <c r="K45" i="3"/>
  <c r="L45" i="3"/>
  <c r="K44" i="3"/>
  <c r="L44" i="3"/>
  <c r="K43" i="3"/>
  <c r="L43" i="3"/>
  <c r="H22" i="9"/>
  <c r="I22" i="9"/>
  <c r="J22" i="9"/>
  <c r="D22" i="9"/>
  <c r="E24" i="9" s="1"/>
  <c r="E39" i="3" s="1"/>
  <c r="E22" i="9"/>
  <c r="F22" i="9"/>
  <c r="G22" i="9"/>
  <c r="K22" i="9"/>
  <c r="L22" i="9"/>
  <c r="M22" i="9"/>
  <c r="M24" i="9"/>
  <c r="N22" i="9"/>
  <c r="O22" i="9"/>
  <c r="B20" i="9"/>
  <c r="A20" i="9"/>
  <c r="B19" i="9"/>
  <c r="A19" i="9"/>
  <c r="B18" i="9"/>
  <c r="A18" i="9"/>
  <c r="B17" i="9"/>
  <c r="A17" i="9"/>
  <c r="B16" i="9"/>
  <c r="A16" i="9"/>
  <c r="B15" i="9"/>
  <c r="A15" i="9"/>
  <c r="B14" i="9"/>
  <c r="A14" i="9"/>
  <c r="B13" i="9"/>
  <c r="A13" i="9"/>
  <c r="B12" i="9"/>
  <c r="A12" i="9"/>
  <c r="B11" i="9"/>
  <c r="A11" i="9"/>
  <c r="B10" i="9"/>
  <c r="A10" i="9"/>
  <c r="B9" i="9"/>
  <c r="A9" i="9"/>
  <c r="A10" i="8"/>
  <c r="B10" i="8"/>
  <c r="A11" i="8"/>
  <c r="B11" i="8"/>
  <c r="A12" i="8"/>
  <c r="B12" i="8"/>
  <c r="A13" i="8"/>
  <c r="B13" i="8"/>
  <c r="A14" i="8"/>
  <c r="B14" i="8"/>
  <c r="A15" i="8"/>
  <c r="B15" i="8"/>
  <c r="A16" i="8"/>
  <c r="B16" i="8"/>
  <c r="A17" i="8"/>
  <c r="B17" i="8"/>
  <c r="A18" i="8"/>
  <c r="B18" i="8"/>
  <c r="A19" i="8"/>
  <c r="B19" i="8"/>
  <c r="A20" i="8"/>
  <c r="B20" i="8"/>
  <c r="B9" i="8"/>
  <c r="A9" i="8"/>
  <c r="F36" i="3" l="1"/>
  <c r="D36" i="3"/>
  <c r="E36" i="3"/>
  <c r="K36" i="3"/>
  <c r="J36" i="3"/>
  <c r="F24" i="9"/>
  <c r="F39" i="3" s="1"/>
  <c r="G24" i="9"/>
  <c r="G39" i="3" s="1"/>
  <c r="I22" i="8"/>
  <c r="I40" i="3" s="1"/>
  <c r="O22" i="8"/>
  <c r="F22" i="8"/>
  <c r="F40" i="3" s="1"/>
  <c r="F46" i="3" s="1"/>
  <c r="J22" i="8"/>
  <c r="J40" i="3" s="1"/>
  <c r="K22" i="8"/>
  <c r="G22" i="8"/>
  <c r="G40" i="3" s="1"/>
  <c r="G45" i="3" s="1"/>
  <c r="N22" i="8"/>
  <c r="L22" i="8"/>
  <c r="E22" i="8"/>
  <c r="E40" i="3" s="1"/>
  <c r="H22" i="8"/>
  <c r="H40" i="3" s="1"/>
  <c r="H43" i="3" s="1"/>
  <c r="D22" i="8"/>
  <c r="D40" i="3" s="1"/>
  <c r="M22" i="8"/>
  <c r="L36" i="3"/>
  <c r="O36" i="3"/>
  <c r="L24" i="9"/>
  <c r="N36" i="3"/>
  <c r="M36" i="3"/>
  <c r="O24" i="9"/>
  <c r="K24" i="9"/>
  <c r="H24" i="9"/>
  <c r="H39" i="3" s="1"/>
  <c r="H36" i="3"/>
  <c r="N24" i="9"/>
  <c r="C35" i="3"/>
  <c r="I36" i="3"/>
  <c r="D24" i="9"/>
  <c r="D39" i="3" s="1"/>
  <c r="J24" i="9"/>
  <c r="J39" i="3" s="1"/>
  <c r="I24" i="9"/>
  <c r="I39" i="3" s="1"/>
  <c r="F44" i="3" l="1"/>
  <c r="F43" i="3"/>
  <c r="F45" i="3"/>
  <c r="F47" i="3" s="1"/>
  <c r="E45" i="3"/>
  <c r="E47" i="3" s="1"/>
  <c r="H45" i="3"/>
  <c r="H47" i="3" s="1"/>
  <c r="H44" i="3"/>
  <c r="E43" i="3"/>
  <c r="E44" i="3"/>
  <c r="E46" i="3"/>
  <c r="G43" i="3"/>
  <c r="G44" i="3"/>
  <c r="G46" i="3"/>
  <c r="G47" i="3"/>
  <c r="H46" i="3"/>
  <c r="I45" i="3"/>
  <c r="I47" i="3" s="1"/>
  <c r="I46" i="3"/>
  <c r="I44" i="3"/>
  <c r="I43" i="3"/>
  <c r="J45" i="3"/>
  <c r="J47" i="3" s="1"/>
  <c r="J46" i="3"/>
  <c r="J44" i="3"/>
  <c r="J43" i="3"/>
  <c r="D45" i="3"/>
  <c r="D47" i="3" s="1"/>
  <c r="D46" i="3"/>
  <c r="D44" i="3"/>
  <c r="D4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A21" authorId="0" shapeId="0" xr:uid="{00000000-0006-0000-0000-000001000000}">
      <text>
        <r>
          <rPr>
            <sz val="8"/>
            <color indexed="81"/>
            <rFont val="Tahoma"/>
          </rPr>
          <t>Work Breakdown Structure (WBS)</t>
        </r>
      </text>
    </comment>
    <comment ref="C21" authorId="0" shapeId="0" xr:uid="{00000000-0006-0000-0000-000002000000}">
      <text>
        <r>
          <rPr>
            <sz val="8"/>
            <color indexed="81"/>
            <rFont val="Tahoma"/>
          </rPr>
          <t>Total Budgeted Cost (TBC)</t>
        </r>
      </text>
    </comment>
  </commentList>
</comments>
</file>

<file path=xl/sharedStrings.xml><?xml version="1.0" encoding="utf-8"?>
<sst xmlns="http://schemas.openxmlformats.org/spreadsheetml/2006/main" count="92" uniqueCount="67">
  <si>
    <t>Task Name</t>
  </si>
  <si>
    <t>[42]</t>
  </si>
  <si>
    <t>WBS</t>
  </si>
  <si>
    <t>Earned Value Analysis Report</t>
  </si>
  <si>
    <t>Wk 1</t>
  </si>
  <si>
    <t>Wk 2</t>
  </si>
  <si>
    <t>Wk 3</t>
  </si>
  <si>
    <t>Wk 4</t>
  </si>
  <si>
    <t>Wk 5</t>
  </si>
  <si>
    <t>Wk 6</t>
  </si>
  <si>
    <t>Wk 7</t>
  </si>
  <si>
    <t>Wk 8</t>
  </si>
  <si>
    <t>Wk 9</t>
  </si>
  <si>
    <t>Wk 10</t>
  </si>
  <si>
    <t>Wk 11</t>
  </si>
  <si>
    <t>Wk 12</t>
  </si>
  <si>
    <t>Cumulative EV</t>
  </si>
  <si>
    <t>Cumulative Actual Cost (AC)</t>
  </si>
  <si>
    <t>Cumulative Earned Value (EV)</t>
  </si>
  <si>
    <t>Cumulative Planned Value (PV)</t>
  </si>
  <si>
    <t>TBC</t>
  </si>
  <si>
    <t>Estimated Cost at Completion (EAC)</t>
  </si>
  <si>
    <t>Insert new rows above this one</t>
  </si>
  <si>
    <t>Earned Value Management Template</t>
  </si>
  <si>
    <t>Project Performance Metrics</t>
  </si>
  <si>
    <t>← To add more tasks, insert rows above this one. You can or delete this row after you are done adding tasks.</t>
  </si>
  <si>
    <t>Summary:</t>
  </si>
  <si>
    <t>← Enter the Earned Value as calculated from the EV worksheet.</t>
  </si>
  <si>
    <t>Earned Value Worksheet</t>
  </si>
  <si>
    <t>Make sure that the WBS, Task Name, and TBC are identical to the table in the Report worksheet.</t>
  </si>
  <si>
    <t>Enter the % Complete for each task to calculate the cumulative earned value.</t>
  </si>
  <si>
    <t>← Enter the Actual Costs as calculated from the AC worksheet.</t>
  </si>
  <si>
    <t>Actual Cost (AC) of Work Performed</t>
  </si>
  <si>
    <t>Total Budgeted Cost</t>
  </si>
  <si>
    <t>Total Actual Cost</t>
  </si>
  <si>
    <t>This worksheet is used to help calculate the Earned Value (EV) or Budgeted Cost of Work Performed (BCWP).</t>
  </si>
  <si>
    <t>Transfer the Cumulative Actual Cost to the Report worksheet.</t>
  </si>
  <si>
    <t>Actual Cost Worksheet</t>
  </si>
  <si>
    <t>Use this worksheet to help calculate the Actual Cost (AC) of Work Performed (ACWP) by entering the costs incurred each period.</t>
  </si>
  <si>
    <t>Actual Cost and Earned Value</t>
  </si>
  <si>
    <t>By Vertex42.com</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</si>
  <si>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</si>
  <si>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</si>
  <si>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</si>
  <si>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Earned Value Management (EVM) Template</t>
  </si>
  <si>
    <t>https://www.vertex42.com/ExcelTemplates/critical-path-method.html</t>
  </si>
  <si>
    <t>https://www.vertex42.com/licensing/EULA_privateuse.html</t>
  </si>
  <si>
    <t>© 2012-2017 Vertex42 LLC</t>
  </si>
  <si>
    <t>Do not delete this worksheet.</t>
  </si>
  <si>
    <t>BAC</t>
  </si>
  <si>
    <t>Project Charter &amp; Scope Definition</t>
  </si>
  <si>
    <t>Initial Resource &amp; Tool Setup</t>
  </si>
  <si>
    <t>Requirements &amp; Design</t>
  </si>
  <si>
    <t>Functional Requirements</t>
  </si>
  <si>
    <t>UI/UX Wireframes</t>
  </si>
  <si>
    <t>Architecture Planning</t>
  </si>
  <si>
    <t xml:space="preserve">Cost Variance </t>
  </si>
  <si>
    <t xml:space="preserve">Schedule Variance </t>
  </si>
  <si>
    <t>Cost Performance Index</t>
  </si>
  <si>
    <t>Schedule Performance Index</t>
  </si>
  <si>
    <t>Frontend Development</t>
  </si>
  <si>
    <t xml:space="preserve">ChiSafe Commute is an open source intelligent route planning application that will help users choose safer routes across the city of Chicago.
The application will retrieve and analyze real time data from multiple API sources, which will include weather, crime, public transit and routing data, and will provide a route that is scored based on safety, travel time, and weather. </t>
  </si>
  <si>
    <t>Testing &amp; Quality Assurance</t>
  </si>
  <si>
    <t>Deployment &amp; Documentation</t>
  </si>
  <si>
    <t>Risk Monitoring &amp; Maintenance</t>
  </si>
  <si>
    <t>Planned Value (PV)</t>
  </si>
  <si>
    <t>Open Source Intelligent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</si>
</sst>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44" x14ac:knownFonts="1">
    <font>
      <sz val="10"/>
      <name val="Arial"/>
    </font>
    <font>
      <sz val="10"/>
      <name val="Arial"/>
    </font>
    <font>
      <b/>
      <sz val="10"/>
      <name val="Arial"/>
      <family val="2"/>
    </font>
    <font>
      <sz val="10"/>
      <name val="Arial"/>
      <family val="2"/>
    </font>
    <font>
      <u/>
      <sz val="10"/>
      <color indexed="12"/>
      <name val="Arial"/>
    </font>
    <font>
      <sz val="8"/>
      <name val="Arial"/>
    </font>
    <font>
      <b/>
      <sz val="12"/>
      <name val="Arial"/>
      <family val="2"/>
    </font>
    <font>
      <b/>
      <sz val="10"/>
      <color indexed="9"/>
      <name val="Arial"/>
      <family val="2"/>
    </font>
    <font>
      <i/>
      <sz val="10"/>
      <name val="Arial"/>
      <family val="2"/>
    </font>
    <font>
      <i/>
      <sz val="8"/>
      <name val="Arial"/>
      <family val="2"/>
    </font>
    <font>
      <sz val="8"/>
      <color indexed="81"/>
      <name val="Tahoma"/>
    </font>
    <font>
      <sz val="6"/>
      <color indexed="9"/>
      <name val="Arial"/>
    </font>
    <font>
      <sz val="14"/>
      <name val="Arial"/>
    </font>
    <font>
      <sz val="16"/>
      <name val="Arial"/>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4" tint="-0.249977111117893"/>
      <name val="Arial"/>
      <family val="2"/>
    </font>
    <font>
      <sz val="11"/>
      <name val="Trebuchet MS"/>
      <family val="2"/>
    </font>
    <font>
      <sz val="11"/>
      <name val="Arial"/>
      <family val="2"/>
    </font>
    <font>
      <b/>
      <sz val="11"/>
      <color theme="4" tint="-0.249977111117893"/>
      <name val="Arial"/>
      <family val="2"/>
    </font>
    <font>
      <b/>
      <sz val="12"/>
      <color theme="1"/>
      <name val="Arial"/>
      <family val="2"/>
    </font>
    <font>
      <b/>
      <sz val="12"/>
      <color indexed="9"/>
      <name val="Calibri"/>
      <family val="2"/>
    </font>
    <font>
      <sz val="11"/>
      <color theme="1" tint="0.34998626667073579"/>
      <name val="Calibri"/>
      <family val="2"/>
    </font>
    <font>
      <u/>
      <sz val="11"/>
      <color indexed="12"/>
      <name val="Tahoma"/>
      <family val="2"/>
    </font>
    <font>
      <u/>
      <sz val="11"/>
      <color indexed="12"/>
      <name val="Arial"/>
      <family val="2"/>
    </font>
    <font>
      <sz val="8"/>
      <name val="Arial"/>
      <family val="2"/>
    </font>
    <font>
      <sz val="16"/>
      <name val="Arial"/>
      <family val="2"/>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22"/>
        <bgColor indexed="64"/>
      </patternFill>
    </fill>
    <fill>
      <patternFill patternType="solid">
        <fgColor indexed="42"/>
        <bgColor indexed="64"/>
      </patternFill>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bottom style="thin">
        <color indexed="64"/>
      </bottom>
      <diagonal/>
    </border>
    <border>
      <left/>
      <right/>
      <top style="thin">
        <color indexed="64"/>
      </top>
      <bottom/>
      <diagonal/>
    </border>
    <border>
      <left style="thin">
        <color indexed="55"/>
      </left>
      <right style="thin">
        <color indexed="55"/>
      </right>
      <top/>
      <bottom style="thin">
        <color indexed="55"/>
      </bottom>
      <diagonal/>
    </border>
    <border>
      <left/>
      <right/>
      <top/>
      <bottom style="thin">
        <color indexed="55"/>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44">
    <xf numFmtId="0" fontId="0" fillId="0" borderId="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2"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8"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0"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6" fillId="16" borderId="0" applyNumberFormat="0" applyBorder="0" applyAlignment="0" applyProtection="0"/>
    <xf numFmtId="0" fontId="17" fillId="17" borderId="1" applyNumberFormat="0" applyAlignment="0" applyProtection="0"/>
    <xf numFmtId="0" fontId="18" fillId="18" borderId="2" applyNumberFormat="0" applyAlignment="0" applyProtection="0"/>
    <xf numFmtId="0" fontId="19" fillId="0" borderId="0" applyNumberFormat="0" applyFill="0" applyBorder="0" applyAlignment="0" applyProtection="0"/>
    <xf numFmtId="0" fontId="20" fillId="19" borderId="0" applyNumberFormat="0" applyBorder="0" applyAlignment="0" applyProtection="0"/>
    <xf numFmtId="0" fontId="21" fillId="0" borderId="3" applyNumberFormat="0" applyFill="0" applyAlignment="0" applyProtection="0"/>
    <xf numFmtId="0" fontId="22" fillId="0" borderId="4" applyNumberFormat="0" applyFill="0" applyAlignment="0" applyProtection="0"/>
    <xf numFmtId="0" fontId="23" fillId="0" borderId="5" applyNumberFormat="0" applyFill="0" applyAlignment="0" applyProtection="0"/>
    <xf numFmtId="0" fontId="23" fillId="0" borderId="0" applyNumberFormat="0" applyFill="0" applyBorder="0" applyAlignment="0" applyProtection="0"/>
    <xf numFmtId="0" fontId="4" fillId="0" borderId="0" applyNumberFormat="0" applyFill="0" applyBorder="0" applyAlignment="0" applyProtection="0">
      <alignment vertical="top"/>
      <protection locked="0"/>
    </xf>
    <xf numFmtId="0" fontId="24" fillId="11" borderId="1" applyNumberFormat="0" applyAlignment="0" applyProtection="0"/>
    <xf numFmtId="0" fontId="25" fillId="0" borderId="6" applyNumberFormat="0" applyFill="0" applyAlignment="0" applyProtection="0"/>
    <xf numFmtId="0" fontId="26" fillId="5" borderId="0" applyNumberFormat="0" applyBorder="0" applyAlignment="0" applyProtection="0"/>
    <xf numFmtId="0" fontId="3" fillId="5" borderId="7" applyNumberFormat="0" applyFont="0" applyAlignment="0" applyProtection="0"/>
    <xf numFmtId="0" fontId="27" fillId="17" borderId="8" applyNumberFormat="0" applyAlignment="0" applyProtection="0"/>
    <xf numFmtId="9" fontId="1" fillId="0" borderId="0" applyFont="0" applyFill="0" applyBorder="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0" borderId="0" applyNumberFormat="0" applyFill="0" applyBorder="0" applyAlignment="0" applyProtection="0"/>
  </cellStyleXfs>
  <cellXfs count="63">
    <xf numFmtId="0" fontId="0" fillId="0" borderId="0" xfId="0"/>
    <xf numFmtId="0" fontId="4" fillId="0" borderId="0" xfId="34" applyAlignment="1" applyProtection="1"/>
    <xf numFmtId="0" fontId="6" fillId="0" borderId="0" xfId="0" applyFont="1"/>
    <xf numFmtId="0" fontId="5" fillId="0" borderId="0" xfId="0" applyFont="1"/>
    <xf numFmtId="0" fontId="0" fillId="20" borderId="0" xfId="0" applyFill="1"/>
    <xf numFmtId="0" fontId="11" fillId="0" borderId="0" xfId="0" applyFont="1" applyAlignment="1">
      <alignment horizontal="right"/>
    </xf>
    <xf numFmtId="0" fontId="0" fillId="0" borderId="0" xfId="0" applyAlignment="1">
      <alignment horizontal="left"/>
    </xf>
    <xf numFmtId="0" fontId="2" fillId="0" borderId="0" xfId="0" applyFont="1" applyAlignment="1">
      <alignment horizontal="right"/>
    </xf>
    <xf numFmtId="0" fontId="8" fillId="0" borderId="0" xfId="0" applyFont="1"/>
    <xf numFmtId="0" fontId="0" fillId="0" borderId="0" xfId="0" applyAlignment="1">
      <alignment horizontal="right"/>
    </xf>
    <xf numFmtId="0" fontId="3" fillId="0" borderId="0" xfId="0" applyFont="1" applyAlignment="1">
      <alignment horizontal="right"/>
    </xf>
    <xf numFmtId="0" fontId="9" fillId="20" borderId="0" xfId="0" applyFont="1" applyFill="1"/>
    <xf numFmtId="0" fontId="5" fillId="0" borderId="0" xfId="0" applyFont="1" applyAlignment="1">
      <alignment horizontal="left"/>
    </xf>
    <xf numFmtId="0" fontId="0" fillId="0" borderId="10" xfId="0" applyBorder="1"/>
    <xf numFmtId="0" fontId="13" fillId="0" borderId="0" xfId="0" applyFont="1"/>
    <xf numFmtId="0" fontId="12" fillId="0" borderId="0" xfId="0" applyFont="1" applyAlignment="1">
      <alignment horizontal="right"/>
    </xf>
    <xf numFmtId="0" fontId="3" fillId="0" borderId="0" xfId="0" applyFont="1"/>
    <xf numFmtId="0" fontId="3" fillId="0" borderId="11" xfId="0" applyFont="1" applyBorder="1"/>
    <xf numFmtId="0" fontId="2" fillId="0" borderId="11" xfId="0" applyFont="1" applyBorder="1"/>
    <xf numFmtId="0" fontId="0" fillId="0" borderId="11" xfId="0" applyBorder="1"/>
    <xf numFmtId="0" fontId="0" fillId="0" borderId="7" xfId="0" applyBorder="1"/>
    <xf numFmtId="0" fontId="0" fillId="0" borderId="7" xfId="0" applyBorder="1" applyAlignment="1">
      <alignment horizontal="left"/>
    </xf>
    <xf numFmtId="0" fontId="0" fillId="0" borderId="12" xfId="0" applyBorder="1" applyAlignment="1">
      <alignment horizontal="left"/>
    </xf>
    <xf numFmtId="0" fontId="0" fillId="0" borderId="12" xfId="0" applyBorder="1"/>
    <xf numFmtId="9" fontId="1" fillId="0" borderId="7" xfId="40" applyFill="1" applyBorder="1"/>
    <xf numFmtId="0" fontId="0" fillId="21" borderId="0" xfId="0" applyFill="1"/>
    <xf numFmtId="2" fontId="0" fillId="0" borderId="0" xfId="40" applyNumberFormat="1" applyFont="1" applyAlignment="1">
      <alignment horizontal="right"/>
    </xf>
    <xf numFmtId="1" fontId="0" fillId="0" borderId="0" xfId="0" applyNumberFormat="1" applyAlignment="1">
      <alignment horizontal="right"/>
    </xf>
    <xf numFmtId="0" fontId="33" fillId="22" borderId="0" xfId="0" applyFont="1" applyFill="1" applyAlignment="1">
      <alignment horizontal="left" vertical="center"/>
    </xf>
    <xf numFmtId="0" fontId="34" fillId="0" borderId="0" xfId="0" applyFont="1" applyAlignment="1">
      <alignment horizontal="left" vertical="top" wrapText="1"/>
    </xf>
    <xf numFmtId="0" fontId="3" fillId="23" borderId="0" xfId="0" applyFont="1" applyFill="1"/>
    <xf numFmtId="0" fontId="35" fillId="0" borderId="15" xfId="0" applyFont="1" applyBorder="1"/>
    <xf numFmtId="0" fontId="0" fillId="23" borderId="0" xfId="0" applyFill="1"/>
    <xf numFmtId="0" fontId="4" fillId="0" borderId="15" xfId="34" applyBorder="1" applyAlignment="1" applyProtection="1">
      <alignment horizontal="left" wrapText="1"/>
    </xf>
    <xf numFmtId="0" fontId="31" fillId="0" borderId="15" xfId="0" applyFont="1" applyBorder="1" applyAlignment="1">
      <alignment horizontal="left" wrapText="1"/>
    </xf>
    <xf numFmtId="0" fontId="6" fillId="0" borderId="15" xfId="0" applyFont="1" applyBorder="1" applyAlignment="1">
      <alignment horizontal="left" wrapText="1"/>
    </xf>
    <xf numFmtId="0" fontId="36" fillId="23" borderId="0" xfId="0" applyFont="1" applyFill="1"/>
    <xf numFmtId="0" fontId="3" fillId="23" borderId="0" xfId="0" applyFont="1" applyFill="1" applyAlignment="1">
      <alignment vertical="top"/>
    </xf>
    <xf numFmtId="0" fontId="35" fillId="23" borderId="0" xfId="0" applyFont="1" applyFill="1" applyAlignment="1">
      <alignment horizontal="right" vertical="top"/>
    </xf>
    <xf numFmtId="0" fontId="34" fillId="23" borderId="0" xfId="0" applyFont="1" applyFill="1" applyAlignment="1">
      <alignment horizontal="left" vertical="top" wrapText="1"/>
    </xf>
    <xf numFmtId="0" fontId="35" fillId="23" borderId="0" xfId="0" applyFont="1" applyFill="1" applyAlignment="1">
      <alignment vertical="top"/>
    </xf>
    <xf numFmtId="0" fontId="35" fillId="23" borderId="0" xfId="0" applyFont="1" applyFill="1" applyAlignment="1">
      <alignment vertical="top" wrapText="1"/>
    </xf>
    <xf numFmtId="0" fontId="0" fillId="23" borderId="0" xfId="0" applyFill="1" applyAlignment="1">
      <alignment horizontal="right" vertical="top"/>
    </xf>
    <xf numFmtId="0" fontId="38" fillId="23" borderId="0" xfId="0" applyFont="1" applyFill="1"/>
    <xf numFmtId="0" fontId="39" fillId="23" borderId="0" xfId="0" applyFont="1" applyFill="1" applyAlignment="1">
      <alignment horizontal="center"/>
    </xf>
    <xf numFmtId="0" fontId="40" fillId="23" borderId="0" xfId="34" applyFont="1" applyFill="1" applyBorder="1" applyAlignment="1" applyProtection="1">
      <alignment horizontal="left" indent="1"/>
    </xf>
    <xf numFmtId="0" fontId="41" fillId="23" borderId="0" xfId="0" applyFont="1" applyFill="1" applyAlignment="1">
      <alignment horizontal="left" indent="1"/>
    </xf>
    <xf numFmtId="0" fontId="35" fillId="23" borderId="0" xfId="0" applyFont="1" applyFill="1"/>
    <xf numFmtId="0" fontId="7" fillId="24" borderId="13" xfId="0" applyFont="1" applyFill="1" applyBorder="1" applyAlignment="1">
      <alignment horizontal="left" vertical="center"/>
    </xf>
    <xf numFmtId="0" fontId="7" fillId="24" borderId="13" xfId="0" applyFont="1" applyFill="1" applyBorder="1" applyAlignment="1">
      <alignment vertical="center"/>
    </xf>
    <xf numFmtId="0" fontId="7" fillId="24" borderId="13" xfId="0" applyFont="1" applyFill="1" applyBorder="1" applyAlignment="1">
      <alignment horizontal="center" vertical="center" wrapText="1"/>
    </xf>
    <xf numFmtId="164" fontId="7" fillId="24" borderId="13" xfId="0" applyNumberFormat="1" applyFont="1" applyFill="1" applyBorder="1" applyAlignment="1">
      <alignment horizontal="center" vertical="center"/>
    </xf>
    <xf numFmtId="0" fontId="7" fillId="24" borderId="13" xfId="0" applyFont="1" applyFill="1" applyBorder="1" applyAlignment="1">
      <alignment horizontal="center" vertical="center"/>
    </xf>
    <xf numFmtId="0" fontId="37" fillId="0" borderId="15" xfId="0" applyFont="1" applyBorder="1" applyAlignment="1">
      <alignment horizontal="left" wrapText="1"/>
    </xf>
    <xf numFmtId="0" fontId="32" fillId="0" borderId="15" xfId="34" applyFont="1" applyBorder="1" applyAlignment="1" applyProtection="1">
      <alignment horizontal="left" wrapText="1"/>
    </xf>
    <xf numFmtId="0" fontId="0" fillId="0" borderId="14" xfId="0" applyBorder="1" applyAlignment="1">
      <alignment horizontal="left"/>
    </xf>
    <xf numFmtId="0" fontId="0" fillId="0" borderId="10" xfId="0" applyBorder="1" applyAlignment="1">
      <alignment horizontal="center"/>
    </xf>
    <xf numFmtId="0" fontId="0" fillId="0" borderId="0" xfId="0" applyAlignment="1">
      <alignment horizontal="left" vertical="top" wrapText="1"/>
    </xf>
    <xf numFmtId="0" fontId="3" fillId="0" borderId="7" xfId="0" applyFont="1" applyBorder="1"/>
    <xf numFmtId="0" fontId="42" fillId="0" borderId="0" xfId="0" applyFont="1" applyAlignment="1">
      <alignment horizontal="left"/>
    </xf>
    <xf numFmtId="0" fontId="3" fillId="0" borderId="10" xfId="0" applyFont="1" applyBorder="1" applyAlignment="1">
      <alignment horizontal="center"/>
    </xf>
    <xf numFmtId="0" fontId="3" fillId="0" borderId="0" xfId="0" applyFont="1" applyAlignment="1">
      <alignment horizontal="left" vertical="top" wrapText="1"/>
    </xf>
    <xf numFmtId="0" fontId="43" fillId="0" borderId="0" xfId="0" applyFont="1"/>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ont>
        <condense val="0"/>
        <extend val="0"/>
        <color indexed="17"/>
      </font>
    </dxf>
    <dxf>
      <font>
        <condense val="0"/>
        <extend val="0"/>
        <color indexed="10"/>
      </font>
    </dxf>
    <dxf>
      <font>
        <condense val="0"/>
        <extend val="0"/>
        <color indexed="10"/>
      </font>
    </dxf>
    <dxf>
      <font>
        <condense val="0"/>
        <extend val="0"/>
        <color indexed="17"/>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75430248588073"/>
          <c:y val="0.10236220472440945"/>
          <c:w val="0.8779614888602304"/>
          <c:h val="0.75984251968503935"/>
        </c:manualLayout>
      </c:layout>
      <c:lineChart>
        <c:grouping val="standard"/>
        <c:varyColors val="0"/>
        <c:ser>
          <c:idx val="0"/>
          <c:order val="0"/>
          <c:tx>
            <c:v>Planned Value (PV)</c:v>
          </c:tx>
          <c:spPr>
            <a:ln w="25400">
              <a:solidFill>
                <a:srgbClr val="000080"/>
              </a:solidFill>
              <a:prstDash val="solid"/>
            </a:ln>
          </c:spPr>
          <c:marker>
            <c:symbol val="diamond"/>
            <c:size val="6"/>
            <c:spPr>
              <a:solidFill>
                <a:srgbClr val="000080"/>
              </a:solidFill>
              <a:ln>
                <a:solidFill>
                  <a:srgbClr val="000080"/>
                </a:solidFill>
                <a:prstDash val="solid"/>
              </a:ln>
            </c:spPr>
          </c:marker>
          <c:cat>
            <c:numRef>
              <c:f>Report!$D$21:$O$21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Report!$D$36:$O$36</c:f>
              <c:numCache>
                <c:formatCode>General</c:formatCode>
                <c:ptCount val="12"/>
                <c:pt idx="0">
                  <c:v>500</c:v>
                </c:pt>
                <c:pt idx="1">
                  <c:v>2000</c:v>
                </c:pt>
                <c:pt idx="2">
                  <c:v>15700</c:v>
                </c:pt>
                <c:pt idx="3">
                  <c:v>19300</c:v>
                </c:pt>
                <c:pt idx="4">
                  <c:v>23000</c:v>
                </c:pt>
                <c:pt idx="5">
                  <c:v>27200</c:v>
                </c:pt>
                <c:pt idx="6">
                  <c:v>28800</c:v>
                </c:pt>
                <c:pt idx="7">
                  <c:v>30000</c:v>
                </c:pt>
                <c:pt idx="8">
                  <c:v>32000</c:v>
                </c:pt>
                <c:pt idx="9">
                  <c:v>35350</c:v>
                </c:pt>
                <c:pt idx="10">
                  <c:v>38900</c:v>
                </c:pt>
                <c:pt idx="11">
                  <c:v>40500</c:v>
                </c:pt>
              </c:numCache>
            </c:numRef>
          </c:val>
          <c:smooth val="0"/>
          <c:extLst>
            <c:ext xmlns:c16="http://schemas.microsoft.com/office/drawing/2014/chart" uri="{C3380CC4-5D6E-409C-BE32-E72D297353CC}">
              <c16:uniqueId val="{00000000-0B77-4BB5-85C2-863F16D3AB54}"/>
            </c:ext>
          </c:extLst>
        </c:ser>
        <c:ser>
          <c:idx val="1"/>
          <c:order val="1"/>
          <c:tx>
            <c:v>Earned Value (EV)</c:v>
          </c:tx>
          <c:spPr>
            <a:ln w="25400">
              <a:solidFill>
                <a:srgbClr val="006500"/>
              </a:solidFill>
              <a:prstDash val="solid"/>
            </a:ln>
          </c:spPr>
          <c:marker>
            <c:symbol val="square"/>
            <c:size val="5"/>
            <c:spPr>
              <a:solidFill>
                <a:srgbClr val="006500"/>
              </a:solidFill>
              <a:ln>
                <a:solidFill>
                  <a:srgbClr val="006500"/>
                </a:solidFill>
                <a:prstDash val="solid"/>
              </a:ln>
            </c:spPr>
          </c:marker>
          <c:cat>
            <c:numRef>
              <c:f>Report!$D$21:$O$21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Report!$D$40:$O$40</c:f>
              <c:numCache>
                <c:formatCode>General</c:formatCode>
                <c:ptCount val="12"/>
                <c:pt idx="0">
                  <c:v>1995</c:v>
                </c:pt>
                <c:pt idx="1">
                  <c:v>7775</c:v>
                </c:pt>
                <c:pt idx="2">
                  <c:v>15775</c:v>
                </c:pt>
                <c:pt idx="3">
                  <c:v>17800</c:v>
                </c:pt>
                <c:pt idx="4">
                  <c:v>19750</c:v>
                </c:pt>
                <c:pt idx="5">
                  <c:v>25040</c:v>
                </c:pt>
                <c:pt idx="6">
                  <c:v>28745</c:v>
                </c:pt>
              </c:numCache>
            </c:numRef>
          </c:val>
          <c:smooth val="0"/>
          <c:extLst>
            <c:ext xmlns:c16="http://schemas.microsoft.com/office/drawing/2014/chart" uri="{C3380CC4-5D6E-409C-BE32-E72D297353CC}">
              <c16:uniqueId val="{00000001-0B77-4BB5-85C2-863F16D3AB54}"/>
            </c:ext>
          </c:extLst>
        </c:ser>
        <c:ser>
          <c:idx val="2"/>
          <c:order val="2"/>
          <c:tx>
            <c:v>Actual Cost (AC)</c:v>
          </c:tx>
          <c:spPr>
            <a:ln w="25400">
              <a:solidFill>
                <a:srgbClr val="FF0000"/>
              </a:solidFill>
              <a:prstDash val="solid"/>
            </a:ln>
          </c:spPr>
          <c:marker>
            <c:symbol val="circle"/>
            <c:size val="5"/>
            <c:spPr>
              <a:solidFill>
                <a:srgbClr val="FF0000"/>
              </a:solidFill>
              <a:ln>
                <a:solidFill>
                  <a:srgbClr val="FF0000"/>
                </a:solidFill>
                <a:prstDash val="solid"/>
              </a:ln>
            </c:spPr>
          </c:marker>
          <c:cat>
            <c:numRef>
              <c:f>Report!$D$21:$O$21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Report!$D$39:$O$39</c:f>
              <c:numCache>
                <c:formatCode>General</c:formatCode>
                <c:ptCount val="12"/>
                <c:pt idx="0">
                  <c:v>800</c:v>
                </c:pt>
                <c:pt idx="1">
                  <c:v>1950</c:v>
                </c:pt>
                <c:pt idx="2">
                  <c:v>4550</c:v>
                </c:pt>
                <c:pt idx="3">
                  <c:v>6550</c:v>
                </c:pt>
                <c:pt idx="4">
                  <c:v>10800</c:v>
                </c:pt>
                <c:pt idx="5">
                  <c:v>13600</c:v>
                </c:pt>
                <c:pt idx="6">
                  <c:v>14500</c:v>
                </c:pt>
              </c:numCache>
            </c:numRef>
          </c:val>
          <c:smooth val="0"/>
          <c:extLst>
            <c:ext xmlns:c16="http://schemas.microsoft.com/office/drawing/2014/chart" uri="{C3380CC4-5D6E-409C-BE32-E72D297353CC}">
              <c16:uniqueId val="{00000002-0B77-4BB5-85C2-863F16D3AB54}"/>
            </c:ext>
          </c:extLst>
        </c:ser>
        <c:dLbls>
          <c:showLegendKey val="0"/>
          <c:showVal val="0"/>
          <c:showCatName val="0"/>
          <c:showSerName val="0"/>
          <c:showPercent val="0"/>
          <c:showBubbleSize val="0"/>
        </c:dLbls>
        <c:marker val="1"/>
        <c:smooth val="0"/>
        <c:axId val="188275328"/>
        <c:axId val="190614912"/>
      </c:lineChart>
      <c:catAx>
        <c:axId val="188275328"/>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Period</a:t>
                </a:r>
              </a:p>
            </c:rich>
          </c:tx>
          <c:layout>
            <c:manualLayout>
              <c:xMode val="edge"/>
              <c:yMode val="edge"/>
              <c:x val="0.47541068172722017"/>
              <c:y val="0.7677165354330708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0614912"/>
        <c:crosses val="autoZero"/>
        <c:auto val="1"/>
        <c:lblAlgn val="ctr"/>
        <c:lblOffset val="100"/>
        <c:tickLblSkip val="1"/>
        <c:tickMarkSkip val="1"/>
        <c:noMultiLvlLbl val="0"/>
      </c:catAx>
      <c:valAx>
        <c:axId val="190614912"/>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88275328"/>
        <c:crosses val="autoZero"/>
        <c:crossBetween val="between"/>
      </c:valAx>
      <c:spPr>
        <a:noFill/>
        <a:ln w="25400">
          <a:noFill/>
        </a:ln>
      </c:spPr>
    </c:plotArea>
    <c:legend>
      <c:legendPos val="r"/>
      <c:layout>
        <c:manualLayout>
          <c:xMode val="edge"/>
          <c:yMode val="edge"/>
          <c:x val="0.14389825232356473"/>
          <c:y val="9.055118110236221E-2"/>
          <c:w val="0.30418997643082668"/>
          <c:h val="0.27559055118110237"/>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6350">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15</xdr:col>
      <xdr:colOff>0</xdr:colOff>
      <xdr:row>17</xdr:row>
      <xdr:rowOff>152400</xdr:rowOff>
    </xdr:to>
    <xdr:graphicFrame macro="">
      <xdr:nvGraphicFramePr>
        <xdr:cNvPr id="1063" name="Chart 39">
          <a:extLst>
            <a:ext uri="{FF2B5EF4-FFF2-40B4-BE49-F238E27FC236}">
              <a16:creationId xmlns:a16="http://schemas.microsoft.com/office/drawing/2014/main" id="{00000000-0008-0000-0000-000027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9525</xdr:colOff>
      <xdr:row>0</xdr:row>
      <xdr:rowOff>95250</xdr:rowOff>
    </xdr:from>
    <xdr:to>
      <xdr:col>17</xdr:col>
      <xdr:colOff>180331</xdr:colOff>
      <xdr:row>1</xdr:row>
      <xdr:rowOff>140996</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151745" y="95250"/>
          <a:ext cx="1359526" cy="3048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24765</xdr:colOff>
      <xdr:row>0</xdr:row>
      <xdr:rowOff>95250</xdr:rowOff>
    </xdr:from>
    <xdr:to>
      <xdr:col>17</xdr:col>
      <xdr:colOff>195571</xdr:colOff>
      <xdr:row>1</xdr:row>
      <xdr:rowOff>140996</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0166985" y="95250"/>
          <a:ext cx="1359526" cy="3048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4331970</xdr:colOff>
      <xdr:row>0</xdr:row>
      <xdr:rowOff>47625</xdr:rowOff>
    </xdr:from>
    <xdr:to>
      <xdr:col>2</xdr:col>
      <xdr:colOff>304156</xdr:colOff>
      <xdr:row>0</xdr:row>
      <xdr:rowOff>352451</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5040630" y="47625"/>
          <a:ext cx="1359526" cy="304826"/>
        </a:xfrm>
        <a:prstGeom prst="rect">
          <a:avLst/>
        </a:prstGeom>
      </xdr:spPr>
    </xdr:pic>
    <xdr:clientData/>
  </xdr:twoCellAnchor>
</xdr:wsDr>
</file>

<file path=xl/theme/theme1.xml><?xml version="1.0" encoding="utf-8"?>
<a:theme xmlns:a="http://schemas.openxmlformats.org/drawingml/2006/main" name="Office Theme">
  <a:themeElements>
    <a:clrScheme name="V42 - TRUE BLUE(purple) CLASSIC">
      <a:dk1>
        <a:sysClr val="windowText" lastClr="000000"/>
      </a:dk1>
      <a:lt1>
        <a:sysClr val="window" lastClr="FFFFFF"/>
      </a:lt1>
      <a:dk2>
        <a:srgbClr val="3A5D9C"/>
      </a:dk2>
      <a:lt2>
        <a:srgbClr val="EEECE2"/>
      </a:lt2>
      <a:accent1>
        <a:srgbClr val="3B4E87"/>
      </a:accent1>
      <a:accent2>
        <a:srgbClr val="C04E4E"/>
      </a:accent2>
      <a:accent3>
        <a:srgbClr val="26AA26"/>
      </a:accent3>
      <a:accent4>
        <a:srgbClr val="7860B4"/>
      </a:accent4>
      <a:accent5>
        <a:srgbClr val="E68422"/>
      </a:accent5>
      <a:accent6>
        <a:srgbClr val="846648"/>
      </a:accent6>
      <a:hlink>
        <a:srgbClr val="4C92AE"/>
      </a:hlink>
      <a:folHlink>
        <a:srgbClr val="969696"/>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vertex42.com/ExcelTemplates/earned-value-management.htm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vertex42.com/ExcelTemplates/earned-value-management.html"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critical-path-method.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47"/>
  <sheetViews>
    <sheetView showGridLines="0" tabSelected="1" workbookViewId="0">
      <selection activeCell="B10" sqref="B10:E18"/>
    </sheetView>
  </sheetViews>
  <sheetFormatPr defaultRowHeight="13.2" x14ac:dyDescent="0.25"/>
  <cols>
    <col min="1" max="1" width="6.5546875" customWidth="1"/>
    <col min="2" max="2" width="23.6640625" customWidth="1"/>
    <col min="3" max="3" width="7.88671875" customWidth="1"/>
    <col min="4" max="15" width="8.6640625" customWidth="1"/>
    <col min="17" max="17" width="15.88671875" customWidth="1"/>
  </cols>
  <sheetData>
    <row r="1" spans="1:17" ht="20.399999999999999" x14ac:dyDescent="0.35">
      <c r="A1" s="62" t="s">
        <v>66</v>
      </c>
      <c r="O1" s="15"/>
    </row>
    <row r="2" spans="1:17" ht="15.6" x14ac:dyDescent="0.3">
      <c r="A2" s="2" t="s">
        <v>3</v>
      </c>
    </row>
    <row r="3" spans="1:17" x14ac:dyDescent="0.25">
      <c r="Q3" s="1"/>
    </row>
    <row r="4" spans="1:17" x14ac:dyDescent="0.25">
      <c r="B4" s="9"/>
      <c r="C4" s="13"/>
      <c r="D4" s="13"/>
      <c r="E4" s="13"/>
      <c r="Q4" s="59"/>
    </row>
    <row r="5" spans="1:17" x14ac:dyDescent="0.25">
      <c r="B5" s="10"/>
      <c r="C5" s="55"/>
      <c r="D5" s="55"/>
    </row>
    <row r="6" spans="1:17" x14ac:dyDescent="0.25">
      <c r="C6" s="5" t="s">
        <v>1</v>
      </c>
    </row>
    <row r="7" spans="1:17" x14ac:dyDescent="0.25">
      <c r="B7" s="9"/>
      <c r="C7" s="60"/>
      <c r="D7" s="56"/>
    </row>
    <row r="8" spans="1:17" x14ac:dyDescent="0.25">
      <c r="C8" s="5"/>
    </row>
    <row r="9" spans="1:17" x14ac:dyDescent="0.25">
      <c r="A9" s="16" t="s">
        <v>26</v>
      </c>
      <c r="B9" s="9"/>
      <c r="C9" s="5"/>
    </row>
    <row r="10" spans="1:17" x14ac:dyDescent="0.25">
      <c r="B10" s="61" t="s">
        <v>61</v>
      </c>
      <c r="C10" s="57"/>
      <c r="D10" s="57"/>
      <c r="E10" s="57"/>
    </row>
    <row r="11" spans="1:17" x14ac:dyDescent="0.25">
      <c r="B11" s="57"/>
      <c r="C11" s="57"/>
      <c r="D11" s="57"/>
      <c r="E11" s="57"/>
    </row>
    <row r="12" spans="1:17" x14ac:dyDescent="0.25">
      <c r="B12" s="57"/>
      <c r="C12" s="57"/>
      <c r="D12" s="57"/>
      <c r="E12" s="57"/>
    </row>
    <row r="13" spans="1:17" x14ac:dyDescent="0.25">
      <c r="B13" s="57"/>
      <c r="C13" s="57"/>
      <c r="D13" s="57"/>
      <c r="E13" s="57"/>
    </row>
    <row r="14" spans="1:17" x14ac:dyDescent="0.25">
      <c r="B14" s="57"/>
      <c r="C14" s="57"/>
      <c r="D14" s="57"/>
      <c r="E14" s="57"/>
    </row>
    <row r="15" spans="1:17" x14ac:dyDescent="0.25">
      <c r="B15" s="57"/>
      <c r="C15" s="57"/>
      <c r="D15" s="57"/>
      <c r="E15" s="57"/>
    </row>
    <row r="16" spans="1:17" x14ac:dyDescent="0.25">
      <c r="B16" s="57"/>
      <c r="C16" s="57"/>
      <c r="D16" s="57"/>
      <c r="E16" s="57"/>
    </row>
    <row r="17" spans="1:17" x14ac:dyDescent="0.25">
      <c r="B17" s="57"/>
      <c r="C17" s="57"/>
      <c r="D17" s="57"/>
      <c r="E17" s="57"/>
    </row>
    <row r="18" spans="1:17" x14ac:dyDescent="0.25">
      <c r="B18" s="57"/>
      <c r="C18" s="57"/>
      <c r="D18" s="57"/>
      <c r="E18" s="57"/>
    </row>
    <row r="19" spans="1:17" x14ac:dyDescent="0.25">
      <c r="C19" s="5"/>
    </row>
    <row r="20" spans="1:17" ht="15.6" x14ac:dyDescent="0.3">
      <c r="A20" s="2" t="s">
        <v>65</v>
      </c>
      <c r="D20" s="8"/>
    </row>
    <row r="21" spans="1:17" x14ac:dyDescent="0.25">
      <c r="A21" s="48" t="s">
        <v>2</v>
      </c>
      <c r="B21" s="49" t="s">
        <v>0</v>
      </c>
      <c r="C21" s="50" t="s">
        <v>49</v>
      </c>
      <c r="D21" s="52">
        <v>1</v>
      </c>
      <c r="E21" s="52">
        <v>2</v>
      </c>
      <c r="F21" s="52">
        <v>3</v>
      </c>
      <c r="G21" s="52">
        <v>4</v>
      </c>
      <c r="H21" s="52">
        <v>5</v>
      </c>
      <c r="I21" s="52">
        <v>6</v>
      </c>
      <c r="J21" s="52">
        <v>7</v>
      </c>
      <c r="K21" s="52">
        <v>8</v>
      </c>
      <c r="L21" s="52">
        <v>9</v>
      </c>
      <c r="M21" s="52">
        <v>10</v>
      </c>
      <c r="N21" s="52">
        <v>11</v>
      </c>
      <c r="O21" s="52">
        <v>12</v>
      </c>
      <c r="Q21" s="3"/>
    </row>
    <row r="22" spans="1:17" x14ac:dyDescent="0.25">
      <c r="A22" s="22">
        <v>1.1000000000000001</v>
      </c>
      <c r="B22" s="23" t="s">
        <v>50</v>
      </c>
      <c r="C22" s="4">
        <f>SUM(D22:O22)</f>
        <v>13300</v>
      </c>
      <c r="D22" s="23">
        <v>500</v>
      </c>
      <c r="E22" s="23">
        <v>800</v>
      </c>
      <c r="F22" s="23">
        <v>12000</v>
      </c>
      <c r="G22" s="23"/>
      <c r="H22" s="23"/>
      <c r="I22" s="23"/>
      <c r="J22" s="23"/>
      <c r="K22" s="23"/>
      <c r="L22" s="23"/>
      <c r="M22" s="23"/>
      <c r="N22" s="23"/>
      <c r="O22" s="23"/>
      <c r="Q22" s="3"/>
    </row>
    <row r="23" spans="1:17" x14ac:dyDescent="0.25">
      <c r="A23" s="21">
        <v>1.2</v>
      </c>
      <c r="B23" s="58" t="s">
        <v>51</v>
      </c>
      <c r="C23" s="4">
        <f t="shared" ref="C22:C33" si="0">SUM(D23:O23)</f>
        <v>4500</v>
      </c>
      <c r="D23" s="20"/>
      <c r="E23" s="20">
        <v>700</v>
      </c>
      <c r="F23" s="20">
        <v>800</v>
      </c>
      <c r="G23" s="20">
        <v>1000</v>
      </c>
      <c r="H23" s="20">
        <v>1000</v>
      </c>
      <c r="I23" s="20">
        <v>1000</v>
      </c>
      <c r="J23" s="20"/>
      <c r="K23" s="20"/>
      <c r="L23" s="20"/>
      <c r="M23" s="20"/>
      <c r="N23" s="20"/>
      <c r="O23" s="20"/>
    </row>
    <row r="24" spans="1:17" x14ac:dyDescent="0.25">
      <c r="A24" s="21">
        <v>2.1</v>
      </c>
      <c r="B24" s="58" t="s">
        <v>52</v>
      </c>
      <c r="C24" s="4">
        <f t="shared" si="0"/>
        <v>4500</v>
      </c>
      <c r="D24" s="20"/>
      <c r="E24" s="20"/>
      <c r="F24" s="20">
        <v>700</v>
      </c>
      <c r="G24" s="20">
        <v>2000</v>
      </c>
      <c r="H24" s="20">
        <v>1000</v>
      </c>
      <c r="I24" s="20">
        <v>800</v>
      </c>
      <c r="J24" s="20"/>
      <c r="K24" s="20"/>
      <c r="L24" s="20"/>
      <c r="M24" s="20"/>
      <c r="N24" s="20"/>
      <c r="O24" s="20"/>
    </row>
    <row r="25" spans="1:17" x14ac:dyDescent="0.25">
      <c r="A25" s="21">
        <v>2.2000000000000002</v>
      </c>
      <c r="B25" s="58" t="s">
        <v>53</v>
      </c>
      <c r="C25" s="4">
        <f t="shared" si="0"/>
        <v>3300</v>
      </c>
      <c r="D25" s="20"/>
      <c r="E25" s="20"/>
      <c r="F25" s="20">
        <v>200</v>
      </c>
      <c r="G25" s="20">
        <v>600</v>
      </c>
      <c r="H25" s="20">
        <v>1000</v>
      </c>
      <c r="I25" s="20">
        <v>1500</v>
      </c>
      <c r="J25" s="20"/>
      <c r="K25" s="20"/>
      <c r="L25" s="20"/>
      <c r="M25" s="20"/>
      <c r="N25" s="20"/>
      <c r="O25" s="20"/>
    </row>
    <row r="26" spans="1:17" x14ac:dyDescent="0.25">
      <c r="A26" s="21">
        <v>2.2999999999999998</v>
      </c>
      <c r="B26" s="58" t="s">
        <v>54</v>
      </c>
      <c r="C26" s="4">
        <f t="shared" si="0"/>
        <v>2200</v>
      </c>
      <c r="D26" s="20"/>
      <c r="E26" s="20"/>
      <c r="F26" s="20"/>
      <c r="G26" s="20"/>
      <c r="H26" s="20">
        <v>700</v>
      </c>
      <c r="I26" s="20">
        <v>500</v>
      </c>
      <c r="J26" s="20">
        <v>1000</v>
      </c>
      <c r="K26" s="20"/>
      <c r="L26" s="20"/>
      <c r="M26" s="20"/>
      <c r="N26" s="20"/>
      <c r="O26" s="20"/>
    </row>
    <row r="27" spans="1:17" x14ac:dyDescent="0.25">
      <c r="A27" s="21">
        <v>2.4</v>
      </c>
      <c r="B27" s="58" t="s">
        <v>55</v>
      </c>
      <c r="C27" s="4">
        <f t="shared" si="0"/>
        <v>3650</v>
      </c>
      <c r="D27" s="20"/>
      <c r="E27" s="20"/>
      <c r="F27" s="20"/>
      <c r="G27" s="20"/>
      <c r="H27" s="20"/>
      <c r="I27" s="20">
        <v>400</v>
      </c>
      <c r="J27" s="20">
        <v>600</v>
      </c>
      <c r="K27" s="20">
        <v>800</v>
      </c>
      <c r="L27" s="20">
        <v>900</v>
      </c>
      <c r="M27" s="20">
        <v>950</v>
      </c>
      <c r="N27" s="20"/>
      <c r="O27" s="20"/>
    </row>
    <row r="28" spans="1:17" x14ac:dyDescent="0.25">
      <c r="A28" s="21">
        <v>3</v>
      </c>
      <c r="B28" s="16" t="s">
        <v>52</v>
      </c>
      <c r="C28" s="4">
        <f t="shared" si="0"/>
        <v>2700</v>
      </c>
      <c r="D28" s="20"/>
      <c r="E28" s="20"/>
      <c r="F28" s="20"/>
      <c r="G28" s="20"/>
      <c r="H28" s="20"/>
      <c r="I28" s="20"/>
      <c r="J28" s="20"/>
      <c r="K28" s="20">
        <v>400</v>
      </c>
      <c r="L28" s="20">
        <v>600</v>
      </c>
      <c r="M28" s="20">
        <v>800</v>
      </c>
      <c r="N28" s="20">
        <v>900</v>
      </c>
      <c r="O28" s="20"/>
    </row>
    <row r="29" spans="1:17" x14ac:dyDescent="0.25">
      <c r="A29" s="21">
        <v>4</v>
      </c>
      <c r="B29" s="58" t="s">
        <v>60</v>
      </c>
      <c r="C29" s="4">
        <f t="shared" si="0"/>
        <v>1100</v>
      </c>
      <c r="D29" s="20"/>
      <c r="E29" s="20"/>
      <c r="F29" s="20"/>
      <c r="G29" s="20"/>
      <c r="H29" s="20"/>
      <c r="I29" s="20"/>
      <c r="J29" s="20"/>
      <c r="K29" s="20"/>
      <c r="L29" s="20"/>
      <c r="M29" s="20">
        <v>500</v>
      </c>
      <c r="N29" s="20">
        <v>600</v>
      </c>
      <c r="O29" s="20"/>
    </row>
    <row r="30" spans="1:17" x14ac:dyDescent="0.25">
      <c r="A30" s="21">
        <v>5</v>
      </c>
      <c r="B30" s="58" t="s">
        <v>62</v>
      </c>
      <c r="C30" s="4">
        <f t="shared" si="0"/>
        <v>1950</v>
      </c>
      <c r="D30" s="20"/>
      <c r="E30" s="20"/>
      <c r="F30" s="20"/>
      <c r="G30" s="20"/>
      <c r="H30" s="20"/>
      <c r="I30" s="20"/>
      <c r="K30" s="20"/>
      <c r="L30" s="20">
        <v>500</v>
      </c>
      <c r="M30" s="20">
        <v>700</v>
      </c>
      <c r="N30" s="20">
        <v>750</v>
      </c>
      <c r="O30" s="20"/>
    </row>
    <row r="31" spans="1:17" x14ac:dyDescent="0.25">
      <c r="A31" s="21">
        <v>6</v>
      </c>
      <c r="B31" s="58" t="s">
        <v>63</v>
      </c>
      <c r="C31" s="4">
        <f t="shared" si="0"/>
        <v>2100</v>
      </c>
      <c r="D31" s="20"/>
      <c r="E31" s="20"/>
      <c r="F31" s="20"/>
      <c r="G31" s="20"/>
      <c r="H31" s="20"/>
      <c r="I31" s="20"/>
      <c r="J31" s="20"/>
      <c r="K31" s="20"/>
      <c r="L31" s="20"/>
      <c r="M31" s="20">
        <v>400</v>
      </c>
      <c r="N31" s="20">
        <v>800</v>
      </c>
      <c r="O31" s="20">
        <v>900</v>
      </c>
    </row>
    <row r="32" spans="1:17" x14ac:dyDescent="0.25">
      <c r="A32" s="21">
        <v>7</v>
      </c>
      <c r="B32" s="58" t="s">
        <v>64</v>
      </c>
      <c r="C32" s="4">
        <f t="shared" si="0"/>
        <v>1200</v>
      </c>
      <c r="D32" s="20"/>
      <c r="E32" s="20"/>
      <c r="F32" s="20"/>
      <c r="G32" s="20"/>
      <c r="H32" s="20"/>
      <c r="I32" s="20"/>
      <c r="J32" s="20"/>
      <c r="K32" s="20"/>
      <c r="L32" s="20"/>
      <c r="N32" s="20">
        <v>500</v>
      </c>
      <c r="O32" s="20">
        <v>700</v>
      </c>
    </row>
    <row r="33" spans="1:17" x14ac:dyDescent="0.25">
      <c r="A33" s="21"/>
      <c r="B33" s="20"/>
      <c r="C33" s="4">
        <f t="shared" si="0"/>
        <v>0</v>
      </c>
      <c r="D33" s="20"/>
      <c r="E33" s="20"/>
      <c r="F33" s="20"/>
      <c r="G33" s="20"/>
      <c r="H33" s="20"/>
      <c r="I33" s="20"/>
      <c r="J33" s="20"/>
      <c r="K33" s="20"/>
      <c r="L33" s="20"/>
      <c r="M33" s="20"/>
      <c r="N33" s="20"/>
    </row>
    <row r="34" spans="1:17" x14ac:dyDescent="0.25">
      <c r="A34" s="11" t="s">
        <v>22</v>
      </c>
      <c r="B34" s="4"/>
      <c r="C34" s="4"/>
      <c r="D34" s="4"/>
      <c r="E34" s="4"/>
      <c r="F34" s="4"/>
      <c r="G34" s="4"/>
      <c r="H34" s="4"/>
      <c r="I34" s="4"/>
      <c r="J34" s="4"/>
      <c r="K34" s="4"/>
      <c r="L34" s="4"/>
      <c r="M34" s="4"/>
      <c r="N34" s="4"/>
      <c r="O34" s="20"/>
      <c r="Q34" s="3" t="s">
        <v>25</v>
      </c>
    </row>
    <row r="35" spans="1:17" x14ac:dyDescent="0.25">
      <c r="B35" s="7" t="s">
        <v>33</v>
      </c>
      <c r="C35" s="18">
        <f>SUM(C22:C33)</f>
        <v>40500</v>
      </c>
      <c r="D35" s="19">
        <f>SUM(D22:D34)</f>
        <v>500</v>
      </c>
      <c r="E35" s="19">
        <f t="shared" ref="E35:O35" si="1">SUM(E22:E34)</f>
        <v>1500</v>
      </c>
      <c r="F35" s="19">
        <f t="shared" si="1"/>
        <v>13700</v>
      </c>
      <c r="G35" s="19">
        <f t="shared" si="1"/>
        <v>3600</v>
      </c>
      <c r="H35" s="19">
        <f t="shared" si="1"/>
        <v>3700</v>
      </c>
      <c r="I35" s="19">
        <f t="shared" si="1"/>
        <v>4200</v>
      </c>
      <c r="J35" s="19">
        <f t="shared" si="1"/>
        <v>1600</v>
      </c>
      <c r="K35" s="19">
        <f t="shared" si="1"/>
        <v>1200</v>
      </c>
      <c r="L35" s="19">
        <f t="shared" si="1"/>
        <v>2000</v>
      </c>
      <c r="M35" s="19">
        <f t="shared" si="1"/>
        <v>3350</v>
      </c>
      <c r="N35" s="19">
        <f t="shared" si="1"/>
        <v>3550</v>
      </c>
      <c r="O35" s="19">
        <f>SUM(O22:O34)</f>
        <v>1600</v>
      </c>
    </row>
    <row r="36" spans="1:17" x14ac:dyDescent="0.25">
      <c r="B36" s="7"/>
      <c r="C36" s="10" t="s">
        <v>19</v>
      </c>
      <c r="D36">
        <f>IF(ISBLANK(D21),NA(),SUM($D35:D35))</f>
        <v>500</v>
      </c>
      <c r="E36">
        <f>IF(ISBLANK(E21),NA(),SUM($D35:E35))</f>
        <v>2000</v>
      </c>
      <c r="F36">
        <f>IF(ISBLANK(F21),NA(),SUM($D35:F35))</f>
        <v>15700</v>
      </c>
      <c r="G36">
        <f>IF(ISBLANK(G21),NA(),SUM($D35:G35))</f>
        <v>19300</v>
      </c>
      <c r="H36">
        <f>IF(ISBLANK(H21),NA(),SUM($D35:H35))</f>
        <v>23000</v>
      </c>
      <c r="I36">
        <f>IF(ISBLANK(I21),NA(),SUM($D35:I35))</f>
        <v>27200</v>
      </c>
      <c r="J36">
        <f>IF(ISBLANK(J21),NA(),SUM($D35:J35))</f>
        <v>28800</v>
      </c>
      <c r="K36">
        <f>IF(ISBLANK(K21),NA(),SUM($D35:K35))</f>
        <v>30000</v>
      </c>
      <c r="L36">
        <f>IF(ISBLANK(L21),NA(),SUM($D35:L35))</f>
        <v>32000</v>
      </c>
      <c r="M36">
        <f>IF(ISBLANK(M21),NA(),SUM($D35:M35))</f>
        <v>35350</v>
      </c>
      <c r="N36">
        <f>IF(ISBLANK(N21),NA(),SUM($D35:N35))</f>
        <v>38900</v>
      </c>
      <c r="O36">
        <f>IF(ISBLANK(O21),NA(),SUM($D35:O35))</f>
        <v>40500</v>
      </c>
    </row>
    <row r="38" spans="1:17" ht="15.6" x14ac:dyDescent="0.3">
      <c r="A38" s="2" t="s">
        <v>39</v>
      </c>
    </row>
    <row r="39" spans="1:17" x14ac:dyDescent="0.25">
      <c r="C39" s="10" t="s">
        <v>17</v>
      </c>
      <c r="D39" s="20">
        <f>AC!D24</f>
        <v>800</v>
      </c>
      <c r="E39" s="20">
        <f>AC!E24</f>
        <v>1950</v>
      </c>
      <c r="F39" s="20">
        <f>AC!F24</f>
        <v>4550</v>
      </c>
      <c r="G39" s="20">
        <f>AC!G24</f>
        <v>6550</v>
      </c>
      <c r="H39" s="20">
        <f>AC!H24</f>
        <v>10800</v>
      </c>
      <c r="I39" s="20">
        <f>AC!I24</f>
        <v>13600</v>
      </c>
      <c r="J39" s="20">
        <f>AC!J24</f>
        <v>14500</v>
      </c>
      <c r="K39" s="20"/>
      <c r="L39" s="20"/>
      <c r="M39" s="20"/>
      <c r="N39" s="20"/>
      <c r="O39" s="20"/>
      <c r="Q39" s="3" t="s">
        <v>31</v>
      </c>
    </row>
    <row r="40" spans="1:17" x14ac:dyDescent="0.25">
      <c r="C40" s="10" t="s">
        <v>18</v>
      </c>
      <c r="D40" s="20">
        <f>EV!D22</f>
        <v>1995</v>
      </c>
      <c r="E40" s="20">
        <f>EV!E22</f>
        <v>7775</v>
      </c>
      <c r="F40" s="20">
        <f>EV!F22</f>
        <v>15775</v>
      </c>
      <c r="G40" s="20">
        <f>EV!G22</f>
        <v>17800</v>
      </c>
      <c r="H40" s="20">
        <f>EV!H22</f>
        <v>19750</v>
      </c>
      <c r="I40" s="20">
        <f>EV!I22</f>
        <v>25040</v>
      </c>
      <c r="J40" s="20">
        <f>EV!J22</f>
        <v>28745</v>
      </c>
      <c r="K40" s="20"/>
      <c r="L40" s="20"/>
      <c r="M40" s="20"/>
      <c r="N40" s="20"/>
      <c r="O40" s="20"/>
      <c r="Q40" s="3" t="s">
        <v>27</v>
      </c>
    </row>
    <row r="42" spans="1:17" ht="15.6" x14ac:dyDescent="0.3">
      <c r="A42" s="2" t="s">
        <v>24</v>
      </c>
    </row>
    <row r="43" spans="1:17" x14ac:dyDescent="0.25">
      <c r="C43" s="10" t="s">
        <v>56</v>
      </c>
      <c r="D43" s="9">
        <f>IF(AND(ISBLANK(D39),ISBLANK(D40))," - ",D40-D39)</f>
        <v>1195</v>
      </c>
      <c r="E43" s="9">
        <f t="shared" ref="E43:O43" si="2">IF(AND(ISBLANK(E39),ISBLANK(E40))," - ",E40-E39)</f>
        <v>5825</v>
      </c>
      <c r="F43" s="9">
        <f t="shared" si="2"/>
        <v>11225</v>
      </c>
      <c r="G43" s="9">
        <f t="shared" si="2"/>
        <v>11250</v>
      </c>
      <c r="H43" s="9">
        <f t="shared" si="2"/>
        <v>8950</v>
      </c>
      <c r="I43" s="9">
        <f t="shared" si="2"/>
        <v>11440</v>
      </c>
      <c r="J43" s="9">
        <f t="shared" si="2"/>
        <v>14245</v>
      </c>
      <c r="K43" s="9" t="str">
        <f t="shared" si="2"/>
        <v xml:space="preserve"> - </v>
      </c>
      <c r="L43" s="9" t="str">
        <f t="shared" si="2"/>
        <v xml:space="preserve"> - </v>
      </c>
      <c r="M43" s="9" t="str">
        <f t="shared" si="2"/>
        <v xml:space="preserve"> - </v>
      </c>
      <c r="N43" s="9" t="str">
        <f t="shared" si="2"/>
        <v xml:space="preserve"> - </v>
      </c>
      <c r="O43" s="9" t="str">
        <f t="shared" si="2"/>
        <v xml:space="preserve"> - </v>
      </c>
    </row>
    <row r="44" spans="1:17" x14ac:dyDescent="0.25">
      <c r="C44" s="10" t="s">
        <v>57</v>
      </c>
      <c r="D44" s="9">
        <f>IF(AND(ISBLANK(D39),ISBLANK(D40))," - ",D40-D36)</f>
        <v>1495</v>
      </c>
      <c r="E44" s="9">
        <f t="shared" ref="E44:O44" si="3">IF(AND(ISBLANK(E39),ISBLANK(E40))," - ",E40-E36)</f>
        <v>5775</v>
      </c>
      <c r="F44" s="9">
        <f t="shared" si="3"/>
        <v>75</v>
      </c>
      <c r="G44" s="9">
        <f t="shared" si="3"/>
        <v>-1500</v>
      </c>
      <c r="H44" s="9">
        <f t="shared" si="3"/>
        <v>-3250</v>
      </c>
      <c r="I44" s="9">
        <f t="shared" si="3"/>
        <v>-2160</v>
      </c>
      <c r="J44" s="9">
        <f t="shared" si="3"/>
        <v>-55</v>
      </c>
      <c r="K44" s="9" t="str">
        <f t="shared" si="3"/>
        <v xml:space="preserve"> - </v>
      </c>
      <c r="L44" s="9" t="str">
        <f t="shared" si="3"/>
        <v xml:space="preserve"> - </v>
      </c>
      <c r="M44" s="9" t="str">
        <f t="shared" si="3"/>
        <v xml:space="preserve"> - </v>
      </c>
      <c r="N44" s="9" t="str">
        <f t="shared" si="3"/>
        <v xml:space="preserve"> - </v>
      </c>
      <c r="O44" s="9" t="str">
        <f t="shared" si="3"/>
        <v xml:space="preserve"> - </v>
      </c>
    </row>
    <row r="45" spans="1:17" x14ac:dyDescent="0.25">
      <c r="C45" s="10" t="s">
        <v>58</v>
      </c>
      <c r="D45" s="26">
        <f>IF(AND(ISBLANK(D39),ISBLANK(D40))," - ",D40/D39)</f>
        <v>2.4937499999999999</v>
      </c>
      <c r="E45" s="26">
        <f t="shared" ref="E45:O45" si="4">IF(AND(ISBLANK(E39),ISBLANK(E40))," - ",E40/E39)</f>
        <v>3.9871794871794872</v>
      </c>
      <c r="F45" s="26">
        <f t="shared" si="4"/>
        <v>3.4670329670329672</v>
      </c>
      <c r="G45" s="26">
        <f t="shared" si="4"/>
        <v>2.717557251908397</v>
      </c>
      <c r="H45" s="26">
        <f t="shared" si="4"/>
        <v>1.8287037037037037</v>
      </c>
      <c r="I45" s="26">
        <f t="shared" si="4"/>
        <v>1.8411764705882352</v>
      </c>
      <c r="J45" s="26">
        <f t="shared" si="4"/>
        <v>1.9824137931034482</v>
      </c>
      <c r="K45" s="26" t="str">
        <f t="shared" si="4"/>
        <v xml:space="preserve"> - </v>
      </c>
      <c r="L45" s="26" t="str">
        <f t="shared" si="4"/>
        <v xml:space="preserve"> - </v>
      </c>
      <c r="M45" s="26" t="str">
        <f t="shared" si="4"/>
        <v xml:space="preserve"> - </v>
      </c>
      <c r="N45" s="26" t="str">
        <f t="shared" si="4"/>
        <v xml:space="preserve"> - </v>
      </c>
      <c r="O45" s="26" t="str">
        <f t="shared" si="4"/>
        <v xml:space="preserve"> - </v>
      </c>
    </row>
    <row r="46" spans="1:17" x14ac:dyDescent="0.25">
      <c r="C46" s="10" t="s">
        <v>59</v>
      </c>
      <c r="D46" s="26">
        <f>IF(AND(ISBLANK(D39),ISBLANK(D40))," - ",D40/D36)</f>
        <v>3.99</v>
      </c>
      <c r="E46" s="26">
        <f t="shared" ref="E46:O46" si="5">IF(AND(ISBLANK(E39),ISBLANK(E40))," - ",E40/E36)</f>
        <v>3.8875000000000002</v>
      </c>
      <c r="F46" s="26">
        <f t="shared" si="5"/>
        <v>1.0047770700636942</v>
      </c>
      <c r="G46" s="26">
        <f t="shared" si="5"/>
        <v>0.92227979274611394</v>
      </c>
      <c r="H46" s="26">
        <f t="shared" si="5"/>
        <v>0.85869565217391308</v>
      </c>
      <c r="I46" s="26">
        <f t="shared" si="5"/>
        <v>0.9205882352941176</v>
      </c>
      <c r="J46" s="26">
        <f t="shared" si="5"/>
        <v>0.99809027777777781</v>
      </c>
      <c r="K46" s="26" t="str">
        <f t="shared" si="5"/>
        <v xml:space="preserve"> - </v>
      </c>
      <c r="L46" s="26" t="str">
        <f t="shared" si="5"/>
        <v xml:space="preserve"> - </v>
      </c>
      <c r="M46" s="26" t="str">
        <f t="shared" si="5"/>
        <v xml:space="preserve"> - </v>
      </c>
      <c r="N46" s="26" t="str">
        <f t="shared" si="5"/>
        <v xml:space="preserve"> - </v>
      </c>
      <c r="O46" s="26" t="str">
        <f t="shared" si="5"/>
        <v xml:space="preserve"> - </v>
      </c>
    </row>
    <row r="47" spans="1:17" x14ac:dyDescent="0.25">
      <c r="C47" s="10" t="s">
        <v>21</v>
      </c>
      <c r="D47" s="27">
        <f>IF(AND(ISBLANK(D39),ISBLANK(D40))," - ",$C$35/D45)</f>
        <v>16240.601503759399</v>
      </c>
      <c r="E47" s="27">
        <f t="shared" ref="E47:O47" si="6">IF(AND(ISBLANK(E39),ISBLANK(E40))," - ",$C$35/E45)</f>
        <v>10157.556270096464</v>
      </c>
      <c r="F47" s="27">
        <f t="shared" si="6"/>
        <v>11681.458003169571</v>
      </c>
      <c r="G47" s="27">
        <f t="shared" si="6"/>
        <v>14903.089887640448</v>
      </c>
      <c r="H47" s="27">
        <f t="shared" si="6"/>
        <v>22146.835443037973</v>
      </c>
      <c r="I47" s="27">
        <f t="shared" si="6"/>
        <v>21996.805111821086</v>
      </c>
      <c r="J47" s="27">
        <f t="shared" si="6"/>
        <v>20429.639937380416</v>
      </c>
      <c r="K47" s="27" t="str">
        <f t="shared" si="6"/>
        <v xml:space="preserve"> - </v>
      </c>
      <c r="L47" s="27" t="str">
        <f t="shared" si="6"/>
        <v xml:space="preserve"> - </v>
      </c>
      <c r="M47" s="27" t="str">
        <f t="shared" si="6"/>
        <v xml:space="preserve"> - </v>
      </c>
      <c r="N47" s="27" t="str">
        <f t="shared" si="6"/>
        <v xml:space="preserve"> - </v>
      </c>
      <c r="O47" s="27" t="str">
        <f t="shared" si="6"/>
        <v xml:space="preserve"> - </v>
      </c>
    </row>
  </sheetData>
  <mergeCells count="3">
    <mergeCell ref="C5:D5"/>
    <mergeCell ref="C7:D7"/>
    <mergeCell ref="B10:E18"/>
  </mergeCells>
  <phoneticPr fontId="5" type="noConversion"/>
  <conditionalFormatting sqref="D43:O44">
    <cfRule type="cellIs" dxfId="3" priority="3" stopIfTrue="1" operator="greaterThanOrEqual">
      <formula>0</formula>
    </cfRule>
    <cfRule type="cellIs" dxfId="2" priority="4" stopIfTrue="1" operator="lessThan">
      <formula>0</formula>
    </cfRule>
  </conditionalFormatting>
  <conditionalFormatting sqref="D45:O46">
    <cfRule type="cellIs" dxfId="1" priority="1" stopIfTrue="1" operator="lessThan">
      <formula>1</formula>
    </cfRule>
    <cfRule type="cellIs" dxfId="0" priority="2" stopIfTrue="1" operator="greaterThanOrEqual">
      <formula>1</formula>
    </cfRule>
  </conditionalFormatting>
  <pageMargins left="0.5" right="0.5" top="0.25" bottom="0.5" header="0.5" footer="0.25"/>
  <pageSetup scale="90" orientation="landscape" r:id="rId1"/>
  <headerFooter scaleWithDoc="0">
    <oddFooter>&amp;L&amp;8&amp;K01+049https://www.vertex42.com/ExcelTemplates/earned-value-management.html&amp;R&amp;8&amp;K01+049EVM Template © 2012 Vertex42 LLC</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22"/>
  <sheetViews>
    <sheetView showGridLines="0" workbookViewId="0"/>
  </sheetViews>
  <sheetFormatPr defaultRowHeight="13.2" x14ac:dyDescent="0.25"/>
  <cols>
    <col min="1" max="1" width="6.5546875" customWidth="1"/>
    <col min="2" max="2" width="22" customWidth="1"/>
    <col min="3" max="3" width="6.44140625" customWidth="1"/>
    <col min="4" max="15" width="8.6640625" customWidth="1"/>
    <col min="17" max="17" width="17.33203125" customWidth="1"/>
  </cols>
  <sheetData>
    <row r="1" spans="1:17" ht="20.399999999999999" x14ac:dyDescent="0.35">
      <c r="A1" s="14" t="s">
        <v>28</v>
      </c>
    </row>
    <row r="2" spans="1:17" ht="15.6" x14ac:dyDescent="0.3">
      <c r="A2" s="2"/>
    </row>
    <row r="3" spans="1:17" x14ac:dyDescent="0.25">
      <c r="A3" s="8" t="s">
        <v>35</v>
      </c>
      <c r="Q3" s="1" t="s">
        <v>23</v>
      </c>
    </row>
    <row r="4" spans="1:17" x14ac:dyDescent="0.25">
      <c r="A4" s="8" t="s">
        <v>29</v>
      </c>
      <c r="Q4" s="12" t="s">
        <v>47</v>
      </c>
    </row>
    <row r="5" spans="1:17" x14ac:dyDescent="0.25">
      <c r="A5" s="8" t="s">
        <v>30</v>
      </c>
      <c r="D5" s="8"/>
    </row>
    <row r="7" spans="1:17" ht="17.399999999999999" x14ac:dyDescent="0.3">
      <c r="A7" s="2" t="s">
        <v>18</v>
      </c>
      <c r="D7" s="8"/>
      <c r="O7" s="15"/>
    </row>
    <row r="8" spans="1:17" x14ac:dyDescent="0.25">
      <c r="A8" s="48" t="s">
        <v>2</v>
      </c>
      <c r="B8" s="49" t="s">
        <v>0</v>
      </c>
      <c r="C8" s="50" t="s">
        <v>20</v>
      </c>
      <c r="D8" s="51" t="s">
        <v>4</v>
      </c>
      <c r="E8" s="51" t="s">
        <v>5</v>
      </c>
      <c r="F8" s="51" t="s">
        <v>6</v>
      </c>
      <c r="G8" s="51" t="s">
        <v>7</v>
      </c>
      <c r="H8" s="51" t="s">
        <v>8</v>
      </c>
      <c r="I8" s="51" t="s">
        <v>9</v>
      </c>
      <c r="J8" s="51" t="s">
        <v>10</v>
      </c>
      <c r="K8" s="51" t="s">
        <v>11</v>
      </c>
      <c r="L8" s="51" t="s">
        <v>12</v>
      </c>
      <c r="M8" s="51" t="s">
        <v>13</v>
      </c>
      <c r="N8" s="51" t="s">
        <v>14</v>
      </c>
      <c r="O8" s="51" t="s">
        <v>15</v>
      </c>
    </row>
    <row r="9" spans="1:17" x14ac:dyDescent="0.25">
      <c r="A9" s="6">
        <f>IF(ISBLANK(Report!A22)," - ",Report!A22)</f>
        <v>1.1000000000000001</v>
      </c>
      <c r="B9" t="str">
        <f>IF(ISBLANK(Report!B22)," - ",Report!B22)</f>
        <v>Project Charter &amp; Scope Definition</v>
      </c>
      <c r="C9">
        <f>Report!C22</f>
        <v>13300</v>
      </c>
      <c r="D9" s="24">
        <v>0.15</v>
      </c>
      <c r="E9" s="24">
        <v>0.5</v>
      </c>
      <c r="F9" s="24">
        <v>1</v>
      </c>
      <c r="G9" s="24">
        <v>1</v>
      </c>
      <c r="H9" s="24">
        <v>1</v>
      </c>
      <c r="I9" s="24">
        <v>1</v>
      </c>
      <c r="J9" s="24">
        <v>1</v>
      </c>
      <c r="K9" s="24"/>
      <c r="L9" s="24"/>
      <c r="M9" s="24"/>
      <c r="N9" s="24"/>
      <c r="O9" s="24"/>
    </row>
    <row r="10" spans="1:17" x14ac:dyDescent="0.25">
      <c r="A10" s="6">
        <f>IF(ISBLANK(Report!A23)," - ",Report!A23)</f>
        <v>1.2</v>
      </c>
      <c r="B10" t="str">
        <f>IF(ISBLANK(Report!B23)," - ",Report!B23)</f>
        <v>Initial Resource &amp; Tool Setup</v>
      </c>
      <c r="C10">
        <f>Report!C23</f>
        <v>4500</v>
      </c>
      <c r="D10" s="24"/>
      <c r="E10" s="24">
        <v>0.25</v>
      </c>
      <c r="F10" s="24">
        <v>0.3</v>
      </c>
      <c r="G10" s="24">
        <v>0.6</v>
      </c>
      <c r="H10" s="24">
        <v>0.75</v>
      </c>
      <c r="I10" s="24">
        <v>0.9</v>
      </c>
      <c r="J10" s="24">
        <v>1</v>
      </c>
      <c r="K10" s="24"/>
      <c r="L10" s="24"/>
      <c r="M10" s="24"/>
      <c r="N10" s="24"/>
      <c r="O10" s="24"/>
    </row>
    <row r="11" spans="1:17" x14ac:dyDescent="0.25">
      <c r="A11" s="6">
        <f>IF(ISBLANK(Report!A24)," - ",Report!A24)</f>
        <v>2.1</v>
      </c>
      <c r="B11" t="str">
        <f>IF(ISBLANK(Report!B24)," - ",Report!B24)</f>
        <v>Requirements &amp; Design</v>
      </c>
      <c r="C11">
        <f>Report!C24</f>
        <v>4500</v>
      </c>
      <c r="D11" s="24"/>
      <c r="E11" s="24"/>
      <c r="F11" s="24">
        <v>0.25</v>
      </c>
      <c r="G11" s="24">
        <v>0.4</v>
      </c>
      <c r="H11" s="24">
        <v>0.5</v>
      </c>
      <c r="I11" s="24">
        <v>1</v>
      </c>
      <c r="J11" s="24">
        <v>1</v>
      </c>
      <c r="K11" s="24"/>
      <c r="L11" s="24"/>
      <c r="M11" s="24"/>
      <c r="N11" s="24"/>
      <c r="O11" s="24"/>
    </row>
    <row r="12" spans="1:17" x14ac:dyDescent="0.25">
      <c r="A12" s="6">
        <f>IF(ISBLANK(Report!A25)," - ",Report!A25)</f>
        <v>2.2000000000000002</v>
      </c>
      <c r="B12" t="str">
        <f>IF(ISBLANK(Report!B25)," - ",Report!B25)</f>
        <v>Functional Requirements</v>
      </c>
      <c r="C12">
        <f>Report!C25</f>
        <v>3300</v>
      </c>
      <c r="D12" s="24"/>
      <c r="E12" s="24"/>
      <c r="F12" s="24"/>
      <c r="G12" s="24"/>
      <c r="H12" s="24">
        <v>0.25</v>
      </c>
      <c r="I12" s="24">
        <v>0.8</v>
      </c>
      <c r="J12" s="24">
        <v>0.9</v>
      </c>
      <c r="K12" s="24"/>
      <c r="L12" s="24"/>
      <c r="M12" s="24"/>
      <c r="N12" s="24"/>
      <c r="O12" s="24"/>
    </row>
    <row r="13" spans="1:17" x14ac:dyDescent="0.25">
      <c r="A13" s="6">
        <f>IF(ISBLANK(Report!A26)," - ",Report!A26)</f>
        <v>2.2999999999999998</v>
      </c>
      <c r="B13" t="str">
        <f>IF(ISBLANK(Report!B26)," - ",Report!B26)</f>
        <v>UI/UX Wireframes</v>
      </c>
      <c r="C13">
        <f>Report!C26</f>
        <v>2200</v>
      </c>
      <c r="D13" s="24"/>
      <c r="E13" s="24"/>
      <c r="F13" s="24"/>
      <c r="G13" s="24"/>
      <c r="H13" s="24"/>
      <c r="I13" s="24">
        <v>0.25</v>
      </c>
      <c r="J13" s="24">
        <v>0.75</v>
      </c>
      <c r="K13" s="24"/>
      <c r="L13" s="24"/>
      <c r="M13" s="24"/>
      <c r="N13" s="24"/>
      <c r="O13" s="24"/>
    </row>
    <row r="14" spans="1:17" x14ac:dyDescent="0.25">
      <c r="A14" s="6">
        <f>IF(ISBLANK(Report!A27)," - ",Report!A27)</f>
        <v>2.4</v>
      </c>
      <c r="B14" t="str">
        <f>IF(ISBLANK(Report!B27)," - ",Report!B27)</f>
        <v>Architecture Planning</v>
      </c>
      <c r="C14">
        <f>Report!C27</f>
        <v>3650</v>
      </c>
      <c r="D14" s="24"/>
      <c r="E14" s="24"/>
      <c r="F14" s="24"/>
      <c r="G14" s="24"/>
      <c r="H14" s="24"/>
      <c r="I14" s="24"/>
      <c r="J14" s="24">
        <v>0.5</v>
      </c>
      <c r="K14" s="24"/>
      <c r="L14" s="24"/>
      <c r="M14" s="24"/>
      <c r="N14" s="24"/>
      <c r="O14" s="24"/>
    </row>
    <row r="15" spans="1:17" x14ac:dyDescent="0.25">
      <c r="A15" s="6">
        <f>IF(ISBLANK(Report!A28)," - ",Report!A28)</f>
        <v>3</v>
      </c>
      <c r="B15" t="str">
        <f>IF(ISBLANK(Report!B28)," - ",Report!B28)</f>
        <v>Requirements &amp; Design</v>
      </c>
      <c r="C15">
        <f>Report!C28</f>
        <v>2700</v>
      </c>
      <c r="D15" s="24"/>
      <c r="E15" s="24"/>
      <c r="F15" s="24"/>
      <c r="G15" s="24"/>
      <c r="H15" s="24"/>
      <c r="I15" s="24"/>
      <c r="J15" s="24"/>
      <c r="K15" s="24"/>
      <c r="L15" s="24"/>
      <c r="M15" s="24"/>
      <c r="N15" s="24"/>
      <c r="O15" s="24"/>
    </row>
    <row r="16" spans="1:17" x14ac:dyDescent="0.25">
      <c r="A16" s="6">
        <f>IF(ISBLANK(Report!A29)," - ",Report!A29)</f>
        <v>4</v>
      </c>
      <c r="B16" t="str">
        <f>IF(ISBLANK(Report!B29)," - ",Report!B29)</f>
        <v>Frontend Development</v>
      </c>
      <c r="C16">
        <f>Report!C29</f>
        <v>1100</v>
      </c>
      <c r="D16" s="24"/>
      <c r="E16" s="24"/>
      <c r="F16" s="24"/>
      <c r="G16" s="24"/>
      <c r="H16" s="24"/>
      <c r="I16" s="24"/>
      <c r="J16" s="24"/>
      <c r="K16" s="24"/>
      <c r="L16" s="24"/>
      <c r="M16" s="24"/>
      <c r="N16" s="24"/>
      <c r="O16" s="24"/>
    </row>
    <row r="17" spans="1:15" x14ac:dyDescent="0.25">
      <c r="A17" s="6">
        <f>IF(ISBLANK(Report!A30)," - ",Report!A30)</f>
        <v>5</v>
      </c>
      <c r="B17" t="str">
        <f>IF(ISBLANK(Report!B30)," - ",Report!B30)</f>
        <v>Testing &amp; Quality Assurance</v>
      </c>
      <c r="C17">
        <f>Report!C30</f>
        <v>1950</v>
      </c>
      <c r="D17" s="24"/>
      <c r="E17" s="24"/>
      <c r="F17" s="24"/>
      <c r="G17" s="24"/>
      <c r="H17" s="24"/>
      <c r="I17" s="24"/>
      <c r="J17" s="24"/>
      <c r="K17" s="24"/>
      <c r="L17" s="24"/>
      <c r="M17" s="24"/>
      <c r="N17" s="24"/>
      <c r="O17" s="24"/>
    </row>
    <row r="18" spans="1:15" x14ac:dyDescent="0.25">
      <c r="A18" s="6">
        <f>IF(ISBLANK(Report!A31)," - ",Report!A31)</f>
        <v>6</v>
      </c>
      <c r="B18" t="str">
        <f>IF(ISBLANK(Report!B31)," - ",Report!B31)</f>
        <v>Deployment &amp; Documentation</v>
      </c>
      <c r="C18">
        <f>Report!C31</f>
        <v>2100</v>
      </c>
      <c r="D18" s="24"/>
      <c r="E18" s="24"/>
      <c r="F18" s="24"/>
      <c r="G18" s="24"/>
      <c r="H18" s="24"/>
      <c r="I18" s="24"/>
      <c r="J18" s="24"/>
      <c r="K18" s="24"/>
      <c r="L18" s="24"/>
      <c r="M18" s="24"/>
      <c r="N18" s="24"/>
      <c r="O18" s="24"/>
    </row>
    <row r="19" spans="1:15" x14ac:dyDescent="0.25">
      <c r="A19" s="6">
        <f>IF(ISBLANK(Report!A32)," - ",Report!A32)</f>
        <v>7</v>
      </c>
      <c r="B19" t="str">
        <f>IF(ISBLANK(Report!B32)," - ",Report!B32)</f>
        <v>Risk Monitoring &amp; Maintenance</v>
      </c>
      <c r="C19">
        <f>Report!C32</f>
        <v>1200</v>
      </c>
      <c r="D19" s="24"/>
      <c r="E19" s="24"/>
      <c r="F19" s="24"/>
      <c r="G19" s="24"/>
      <c r="H19" s="24"/>
      <c r="I19" s="24"/>
      <c r="J19" s="24"/>
      <c r="K19" s="24"/>
      <c r="L19" s="24"/>
      <c r="M19" s="24"/>
      <c r="N19" s="24"/>
      <c r="O19" s="24"/>
    </row>
    <row r="20" spans="1:15" x14ac:dyDescent="0.25">
      <c r="A20" s="6" t="str">
        <f>IF(ISBLANK(Report!A33)," - ",Report!A33)</f>
        <v xml:space="preserve"> - </v>
      </c>
      <c r="B20" t="str">
        <f>IF(ISBLANK(Report!B33)," - ",Report!B33)</f>
        <v xml:space="preserve"> - </v>
      </c>
      <c r="C20">
        <f>Report!C33</f>
        <v>0</v>
      </c>
      <c r="D20" s="24"/>
      <c r="E20" s="24"/>
      <c r="F20" s="24"/>
      <c r="G20" s="24"/>
      <c r="H20" s="24"/>
      <c r="I20" s="24"/>
      <c r="J20" s="24"/>
      <c r="K20" s="24"/>
      <c r="L20" s="24"/>
      <c r="M20" s="24"/>
      <c r="N20" s="24"/>
      <c r="O20" s="24"/>
    </row>
    <row r="21" spans="1:15" x14ac:dyDescent="0.25">
      <c r="A21" s="11" t="s">
        <v>22</v>
      </c>
      <c r="B21" s="4"/>
      <c r="C21" s="4"/>
      <c r="D21" s="4"/>
      <c r="E21" s="4"/>
      <c r="F21" s="4"/>
      <c r="G21" s="4"/>
      <c r="H21" s="4"/>
      <c r="I21" s="4"/>
      <c r="J21" s="4"/>
      <c r="K21" s="4"/>
      <c r="L21" s="4"/>
      <c r="M21" s="4"/>
      <c r="N21" s="4"/>
      <c r="O21" s="4"/>
    </row>
    <row r="22" spans="1:15" x14ac:dyDescent="0.25">
      <c r="C22" s="7" t="s">
        <v>16</v>
      </c>
      <c r="D22" s="17">
        <f>SUMPRODUCT(D9:D21,$C$9:$C$21)</f>
        <v>1995</v>
      </c>
      <c r="E22" s="17">
        <f t="shared" ref="E22:O22" si="0">SUMPRODUCT(E9:E21,$C$9:$C$21)</f>
        <v>7775</v>
      </c>
      <c r="F22" s="17">
        <f t="shared" si="0"/>
        <v>15775</v>
      </c>
      <c r="G22" s="17">
        <f t="shared" si="0"/>
        <v>17800</v>
      </c>
      <c r="H22" s="17">
        <f t="shared" si="0"/>
        <v>19750</v>
      </c>
      <c r="I22" s="17">
        <f t="shared" si="0"/>
        <v>25040</v>
      </c>
      <c r="J22" s="17">
        <f t="shared" si="0"/>
        <v>28745</v>
      </c>
      <c r="K22" s="17">
        <f t="shared" si="0"/>
        <v>0</v>
      </c>
      <c r="L22" s="17">
        <f t="shared" si="0"/>
        <v>0</v>
      </c>
      <c r="M22" s="17">
        <f t="shared" si="0"/>
        <v>0</v>
      </c>
      <c r="N22" s="17">
        <f t="shared" si="0"/>
        <v>0</v>
      </c>
      <c r="O22" s="17">
        <f t="shared" si="0"/>
        <v>0</v>
      </c>
    </row>
  </sheetData>
  <phoneticPr fontId="5" type="noConversion"/>
  <hyperlinks>
    <hyperlink ref="Q3" r:id="rId1" display="https://www.vertex42.com/ExcelTemplates/earned-value-management.html" xr:uid="{00000000-0004-0000-0100-000000000000}"/>
  </hyperlinks>
  <pageMargins left="0.5" right="0.5" top="0.25" bottom="0.25" header="0.5" footer="0.25"/>
  <pageSetup scale="93" orientation="landscape"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24"/>
  <sheetViews>
    <sheetView showGridLines="0" workbookViewId="0"/>
  </sheetViews>
  <sheetFormatPr defaultRowHeight="13.2" x14ac:dyDescent="0.25"/>
  <cols>
    <col min="1" max="1" width="6.5546875" customWidth="1"/>
    <col min="2" max="2" width="22" customWidth="1"/>
    <col min="3" max="3" width="6.44140625" customWidth="1"/>
    <col min="4" max="15" width="8.6640625" customWidth="1"/>
    <col min="17" max="17" width="17.33203125" customWidth="1"/>
  </cols>
  <sheetData>
    <row r="1" spans="1:17" ht="20.399999999999999" x14ac:dyDescent="0.35">
      <c r="A1" s="14" t="s">
        <v>37</v>
      </c>
    </row>
    <row r="2" spans="1:17" ht="15.6" x14ac:dyDescent="0.3">
      <c r="A2" s="2"/>
    </row>
    <row r="3" spans="1:17" x14ac:dyDescent="0.25">
      <c r="A3" s="8" t="s">
        <v>38</v>
      </c>
      <c r="Q3" s="1" t="s">
        <v>23</v>
      </c>
    </row>
    <row r="4" spans="1:17" x14ac:dyDescent="0.25">
      <c r="A4" s="8" t="s">
        <v>29</v>
      </c>
      <c r="Q4" s="12" t="s">
        <v>47</v>
      </c>
    </row>
    <row r="5" spans="1:17" x14ac:dyDescent="0.25">
      <c r="A5" s="8" t="s">
        <v>36</v>
      </c>
      <c r="D5" s="8"/>
    </row>
    <row r="7" spans="1:17" ht="17.399999999999999" x14ac:dyDescent="0.3">
      <c r="A7" s="2" t="s">
        <v>32</v>
      </c>
      <c r="D7" s="8"/>
      <c r="O7" s="15"/>
    </row>
    <row r="8" spans="1:17" x14ac:dyDescent="0.25">
      <c r="A8" s="48" t="s">
        <v>2</v>
      </c>
      <c r="B8" s="49" t="s">
        <v>0</v>
      </c>
      <c r="C8" s="50"/>
      <c r="D8" s="51" t="s">
        <v>4</v>
      </c>
      <c r="E8" s="51" t="s">
        <v>5</v>
      </c>
      <c r="F8" s="51" t="s">
        <v>6</v>
      </c>
      <c r="G8" s="51" t="s">
        <v>7</v>
      </c>
      <c r="H8" s="51" t="s">
        <v>8</v>
      </c>
      <c r="I8" s="51" t="s">
        <v>9</v>
      </c>
      <c r="J8" s="51" t="s">
        <v>10</v>
      </c>
      <c r="K8" s="51" t="s">
        <v>11</v>
      </c>
      <c r="L8" s="51" t="s">
        <v>12</v>
      </c>
      <c r="M8" s="51" t="s">
        <v>13</v>
      </c>
      <c r="N8" s="51" t="s">
        <v>14</v>
      </c>
      <c r="O8" s="51" t="s">
        <v>15</v>
      </c>
    </row>
    <row r="9" spans="1:17" x14ac:dyDescent="0.25">
      <c r="A9" s="6">
        <f>IF(ISBLANK(Report!A22)," - ",Report!A22)</f>
        <v>1.1000000000000001</v>
      </c>
      <c r="B9" t="str">
        <f>IF(ISBLANK(Report!B22)," - ",Report!B22)</f>
        <v>Project Charter &amp; Scope Definition</v>
      </c>
      <c r="D9" s="23">
        <v>800</v>
      </c>
      <c r="E9" s="23">
        <v>250</v>
      </c>
      <c r="F9" s="23">
        <v>1500</v>
      </c>
      <c r="G9" s="23"/>
      <c r="H9" s="23"/>
      <c r="I9" s="23"/>
      <c r="J9" s="23"/>
      <c r="K9" s="23"/>
      <c r="L9" s="23"/>
      <c r="M9" s="23"/>
      <c r="N9" s="23"/>
      <c r="O9" s="23"/>
    </row>
    <row r="10" spans="1:17" x14ac:dyDescent="0.25">
      <c r="A10" s="6">
        <f>IF(ISBLANK(Report!A23)," - ",Report!A23)</f>
        <v>1.2</v>
      </c>
      <c r="B10" t="str">
        <f>IF(ISBLANK(Report!B23)," - ",Report!B23)</f>
        <v>Initial Resource &amp; Tool Setup</v>
      </c>
      <c r="D10" s="20"/>
      <c r="E10" s="20">
        <v>900</v>
      </c>
      <c r="F10" s="20">
        <v>700</v>
      </c>
      <c r="G10" s="20">
        <v>1200</v>
      </c>
      <c r="H10" s="20">
        <v>1700</v>
      </c>
      <c r="I10" s="20"/>
      <c r="J10" s="20"/>
      <c r="K10" s="20"/>
      <c r="L10" s="20"/>
      <c r="M10" s="20"/>
      <c r="N10" s="20"/>
      <c r="O10" s="20"/>
    </row>
    <row r="11" spans="1:17" x14ac:dyDescent="0.25">
      <c r="A11" s="6">
        <f>IF(ISBLANK(Report!A24)," - ",Report!A24)</f>
        <v>2.1</v>
      </c>
      <c r="B11" t="str">
        <f>IF(ISBLANK(Report!B24)," - ",Report!B24)</f>
        <v>Requirements &amp; Design</v>
      </c>
      <c r="D11" s="20"/>
      <c r="E11" s="20"/>
      <c r="F11" s="20">
        <v>300</v>
      </c>
      <c r="G11" s="20">
        <v>300</v>
      </c>
      <c r="H11" s="20">
        <v>1250</v>
      </c>
      <c r="I11" s="20">
        <v>1500</v>
      </c>
      <c r="J11" s="20"/>
      <c r="K11" s="20"/>
      <c r="L11" s="20"/>
      <c r="M11" s="20"/>
      <c r="N11" s="20"/>
      <c r="O11" s="20"/>
    </row>
    <row r="12" spans="1:17" x14ac:dyDescent="0.25">
      <c r="A12" s="6">
        <f>IF(ISBLANK(Report!A25)," - ",Report!A25)</f>
        <v>2.2000000000000002</v>
      </c>
      <c r="B12" t="str">
        <f>IF(ISBLANK(Report!B25)," - ",Report!B25)</f>
        <v>Functional Requirements</v>
      </c>
      <c r="D12" s="20"/>
      <c r="E12" s="20"/>
      <c r="F12" s="20">
        <v>100</v>
      </c>
      <c r="G12" s="20">
        <v>500</v>
      </c>
      <c r="H12" s="20">
        <v>900</v>
      </c>
      <c r="I12" s="20">
        <v>700</v>
      </c>
      <c r="J12" s="20">
        <v>400</v>
      </c>
      <c r="K12" s="20"/>
      <c r="L12" s="20"/>
      <c r="M12" s="20"/>
      <c r="N12" s="20"/>
      <c r="O12" s="20"/>
    </row>
    <row r="13" spans="1:17" x14ac:dyDescent="0.25">
      <c r="A13" s="6">
        <f>IF(ISBLANK(Report!A26)," - ",Report!A26)</f>
        <v>2.2999999999999998</v>
      </c>
      <c r="B13" t="str">
        <f>IF(ISBLANK(Report!B26)," - ",Report!B26)</f>
        <v>UI/UX Wireframes</v>
      </c>
      <c r="D13" s="20"/>
      <c r="E13" s="20"/>
      <c r="F13" s="20"/>
      <c r="G13" s="20"/>
      <c r="H13" s="20">
        <v>400</v>
      </c>
      <c r="I13" s="20">
        <v>600</v>
      </c>
      <c r="J13" s="20">
        <v>500</v>
      </c>
      <c r="K13" s="20"/>
      <c r="L13" s="20"/>
      <c r="M13" s="20"/>
      <c r="N13" s="20"/>
      <c r="O13" s="20"/>
    </row>
    <row r="14" spans="1:17" x14ac:dyDescent="0.25">
      <c r="A14" s="6">
        <f>IF(ISBLANK(Report!A27)," - ",Report!A27)</f>
        <v>2.4</v>
      </c>
      <c r="B14" t="str">
        <f>IF(ISBLANK(Report!B27)," - ",Report!B27)</f>
        <v>Architecture Planning</v>
      </c>
      <c r="D14" s="20"/>
      <c r="E14" s="20"/>
      <c r="F14" s="20"/>
      <c r="G14" s="20"/>
      <c r="H14" s="20"/>
      <c r="I14" s="20"/>
      <c r="J14" s="20"/>
      <c r="K14" s="20"/>
      <c r="L14" s="20"/>
      <c r="M14" s="20"/>
      <c r="N14" s="20"/>
      <c r="O14" s="20"/>
    </row>
    <row r="15" spans="1:17" x14ac:dyDescent="0.25">
      <c r="A15" s="6">
        <f>IF(ISBLANK(Report!A28)," - ",Report!A28)</f>
        <v>3</v>
      </c>
      <c r="B15" t="str">
        <f>IF(ISBLANK(Report!B28)," - ",Report!B28)</f>
        <v>Requirements &amp; Design</v>
      </c>
      <c r="D15" s="20"/>
      <c r="E15" s="20"/>
      <c r="F15" s="20"/>
      <c r="G15" s="20"/>
      <c r="H15" s="20"/>
      <c r="I15" s="20"/>
      <c r="J15" s="20"/>
      <c r="K15" s="20"/>
      <c r="L15" s="20"/>
      <c r="M15" s="20"/>
      <c r="N15" s="20"/>
      <c r="O15" s="20"/>
    </row>
    <row r="16" spans="1:17" x14ac:dyDescent="0.25">
      <c r="A16" s="6">
        <f>IF(ISBLANK(Report!A29)," - ",Report!A29)</f>
        <v>4</v>
      </c>
      <c r="B16" t="str">
        <f>IF(ISBLANK(Report!B29)," - ",Report!B29)</f>
        <v>Frontend Development</v>
      </c>
      <c r="D16" s="20"/>
      <c r="E16" s="20"/>
      <c r="F16" s="20"/>
      <c r="G16" s="20"/>
      <c r="H16" s="20"/>
      <c r="I16" s="20"/>
      <c r="J16" s="20"/>
      <c r="K16" s="20"/>
      <c r="L16" s="20"/>
      <c r="M16" s="20"/>
      <c r="N16" s="20"/>
      <c r="O16" s="20"/>
    </row>
    <row r="17" spans="1:15" x14ac:dyDescent="0.25">
      <c r="A17" s="6">
        <f>IF(ISBLANK(Report!A30)," - ",Report!A30)</f>
        <v>5</v>
      </c>
      <c r="B17" t="str">
        <f>IF(ISBLANK(Report!B30)," - ",Report!B30)</f>
        <v>Testing &amp; Quality Assurance</v>
      </c>
      <c r="D17" s="20"/>
      <c r="E17" s="20"/>
      <c r="F17" s="20"/>
      <c r="G17" s="20"/>
      <c r="H17" s="20"/>
      <c r="I17" s="20"/>
      <c r="J17" s="20"/>
      <c r="K17" s="20"/>
      <c r="L17" s="20"/>
      <c r="M17" s="20"/>
      <c r="N17" s="20"/>
      <c r="O17" s="20"/>
    </row>
    <row r="18" spans="1:15" x14ac:dyDescent="0.25">
      <c r="A18" s="6">
        <f>IF(ISBLANK(Report!A31)," - ",Report!A31)</f>
        <v>6</v>
      </c>
      <c r="B18" t="str">
        <f>IF(ISBLANK(Report!B31)," - ",Report!B31)</f>
        <v>Deployment &amp; Documentation</v>
      </c>
      <c r="D18" s="20"/>
      <c r="E18" s="20"/>
      <c r="F18" s="20"/>
      <c r="G18" s="20"/>
      <c r="H18" s="20"/>
      <c r="I18" s="20"/>
      <c r="J18" s="20"/>
      <c r="K18" s="20"/>
      <c r="L18" s="20"/>
      <c r="M18" s="20"/>
      <c r="N18" s="20"/>
      <c r="O18" s="20"/>
    </row>
    <row r="19" spans="1:15" x14ac:dyDescent="0.25">
      <c r="A19" s="6">
        <f>IF(ISBLANK(Report!A32)," - ",Report!A32)</f>
        <v>7</v>
      </c>
      <c r="B19" t="str">
        <f>IF(ISBLANK(Report!B32)," - ",Report!B32)</f>
        <v>Risk Monitoring &amp; Maintenance</v>
      </c>
      <c r="D19" s="20"/>
      <c r="E19" s="20"/>
      <c r="F19" s="20"/>
      <c r="G19" s="20"/>
      <c r="H19" s="20"/>
      <c r="I19" s="20"/>
      <c r="J19" s="20"/>
      <c r="K19" s="20"/>
      <c r="L19" s="20"/>
      <c r="M19" s="20"/>
      <c r="N19" s="20"/>
      <c r="O19" s="20"/>
    </row>
    <row r="20" spans="1:15" x14ac:dyDescent="0.25">
      <c r="A20" s="6" t="str">
        <f>IF(ISBLANK(Report!A33)," - ",Report!A33)</f>
        <v xml:space="preserve"> - </v>
      </c>
      <c r="B20" t="str">
        <f>IF(ISBLANK(Report!B33)," - ",Report!B33)</f>
        <v xml:space="preserve"> - </v>
      </c>
      <c r="D20" s="20"/>
      <c r="E20" s="20"/>
      <c r="F20" s="20"/>
      <c r="G20" s="20"/>
      <c r="H20" s="20"/>
      <c r="I20" s="20"/>
      <c r="J20" s="20"/>
      <c r="K20" s="20"/>
      <c r="L20" s="20"/>
      <c r="M20" s="20"/>
      <c r="N20" s="20"/>
      <c r="O20" s="20"/>
    </row>
    <row r="21" spans="1:15" x14ac:dyDescent="0.25">
      <c r="A21" s="11" t="s">
        <v>22</v>
      </c>
      <c r="B21" s="4"/>
      <c r="C21" s="4"/>
      <c r="D21" s="4"/>
      <c r="E21" s="4"/>
      <c r="F21" s="4"/>
      <c r="G21" s="4"/>
      <c r="H21" s="4"/>
      <c r="I21" s="4"/>
      <c r="J21" s="4"/>
      <c r="K21" s="4"/>
      <c r="L21" s="4"/>
      <c r="M21" s="4"/>
      <c r="N21" s="4"/>
      <c r="O21" s="4"/>
    </row>
    <row r="22" spans="1:15" x14ac:dyDescent="0.25">
      <c r="C22" s="10" t="s">
        <v>34</v>
      </c>
      <c r="D22" s="17">
        <f>SUM(D9:D21)</f>
        <v>800</v>
      </c>
      <c r="E22" s="17">
        <f t="shared" ref="E22:O22" si="0">SUM(E9:E21)</f>
        <v>1150</v>
      </c>
      <c r="F22" s="17">
        <f t="shared" si="0"/>
        <v>2600</v>
      </c>
      <c r="G22" s="17">
        <f t="shared" si="0"/>
        <v>2000</v>
      </c>
      <c r="H22" s="17">
        <f t="shared" si="0"/>
        <v>4250</v>
      </c>
      <c r="I22" s="17">
        <f t="shared" si="0"/>
        <v>2800</v>
      </c>
      <c r="J22" s="17">
        <f t="shared" si="0"/>
        <v>900</v>
      </c>
      <c r="K22" s="17">
        <f t="shared" si="0"/>
        <v>0</v>
      </c>
      <c r="L22" s="17">
        <f t="shared" si="0"/>
        <v>0</v>
      </c>
      <c r="M22" s="17">
        <f t="shared" si="0"/>
        <v>0</v>
      </c>
      <c r="N22" s="17">
        <f t="shared" si="0"/>
        <v>0</v>
      </c>
      <c r="O22" s="17">
        <f t="shared" si="0"/>
        <v>0</v>
      </c>
    </row>
    <row r="24" spans="1:15" x14ac:dyDescent="0.25">
      <c r="C24" s="7" t="s">
        <v>17</v>
      </c>
      <c r="D24" s="25">
        <f>SUM($D22:D22)</f>
        <v>800</v>
      </c>
      <c r="E24" s="25">
        <f>SUM($D22:E22)</f>
        <v>1950</v>
      </c>
      <c r="F24" s="25">
        <f>SUM($D22:F22)</f>
        <v>4550</v>
      </c>
      <c r="G24" s="25">
        <f>SUM($D22:G22)</f>
        <v>6550</v>
      </c>
      <c r="H24" s="25">
        <f>SUM($D22:H22)</f>
        <v>10800</v>
      </c>
      <c r="I24" s="25">
        <f>SUM($D22:I22)</f>
        <v>13600</v>
      </c>
      <c r="J24" s="25">
        <f>SUM($D22:J22)</f>
        <v>14500</v>
      </c>
      <c r="K24" s="25">
        <f>SUM($D22:K22)</f>
        <v>14500</v>
      </c>
      <c r="L24" s="25">
        <f>SUM($D22:L22)</f>
        <v>14500</v>
      </c>
      <c r="M24" s="25">
        <f>SUM($D22:M22)</f>
        <v>14500</v>
      </c>
      <c r="N24" s="25">
        <f>SUM($D22:N22)</f>
        <v>14500</v>
      </c>
      <c r="O24" s="25">
        <f>SUM($D22:O22)</f>
        <v>14500</v>
      </c>
    </row>
  </sheetData>
  <phoneticPr fontId="5" type="noConversion"/>
  <hyperlinks>
    <hyperlink ref="Q3" r:id="rId1" display="https://www.vertex42.com/ExcelTemplates/earned-value-management.html" xr:uid="{00000000-0004-0000-0200-000000000000}"/>
  </hyperlinks>
  <pageMargins left="0.5" right="0.5" top="0.25" bottom="0.25" header="0.5" footer="0.25"/>
  <pageSetup scale="93" orientation="landscape"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2"/>
  <sheetViews>
    <sheetView showGridLines="0" workbookViewId="0"/>
  </sheetViews>
  <sheetFormatPr defaultColWidth="9.109375" defaultRowHeight="13.2" x14ac:dyDescent="0.25"/>
  <cols>
    <col min="1" max="1" width="5.5546875" customWidth="1"/>
    <col min="2" max="2" width="78.5546875" customWidth="1"/>
    <col min="3" max="3" width="5.33203125" customWidth="1"/>
    <col min="4" max="4" width="10.33203125" customWidth="1"/>
  </cols>
  <sheetData>
    <row r="1" spans="1:3" ht="30" customHeight="1" x14ac:dyDescent="0.25">
      <c r="A1" s="28" t="s">
        <v>44</v>
      </c>
      <c r="B1" s="28"/>
      <c r="C1" s="28"/>
    </row>
    <row r="2" spans="1:3" ht="14.4" x14ac:dyDescent="0.25">
      <c r="A2" s="16"/>
      <c r="B2" s="29"/>
      <c r="C2" s="16"/>
    </row>
    <row r="3" spans="1:3" s="32" customFormat="1" ht="13.8" x14ac:dyDescent="0.25">
      <c r="A3" s="30"/>
      <c r="B3" s="31" t="s">
        <v>40</v>
      </c>
      <c r="C3" s="30"/>
    </row>
    <row r="4" spans="1:3" s="32" customFormat="1" x14ac:dyDescent="0.25">
      <c r="A4" s="30"/>
      <c r="B4" s="33" t="s">
        <v>45</v>
      </c>
      <c r="C4" s="30"/>
    </row>
    <row r="5" spans="1:3" s="32" customFormat="1" ht="15" x14ac:dyDescent="0.25">
      <c r="A5" s="30"/>
      <c r="B5" s="34"/>
      <c r="C5" s="30"/>
    </row>
    <row r="6" spans="1:3" s="32" customFormat="1" ht="15.6" x14ac:dyDescent="0.3">
      <c r="A6" s="30"/>
      <c r="B6" s="35" t="s">
        <v>47</v>
      </c>
      <c r="C6" s="30"/>
    </row>
    <row r="7" spans="1:3" s="32" customFormat="1" ht="15" x14ac:dyDescent="0.25">
      <c r="A7" s="36"/>
      <c r="B7" s="34"/>
      <c r="C7" s="37"/>
    </row>
    <row r="8" spans="1:3" s="32" customFormat="1" ht="30" x14ac:dyDescent="0.25">
      <c r="A8" s="38"/>
      <c r="B8" s="34" t="s">
        <v>41</v>
      </c>
      <c r="C8" s="30"/>
    </row>
    <row r="9" spans="1:3" s="32" customFormat="1" ht="15" x14ac:dyDescent="0.25">
      <c r="A9" s="38"/>
      <c r="B9" s="34"/>
      <c r="C9" s="30"/>
    </row>
    <row r="10" spans="1:3" s="32" customFormat="1" ht="30" x14ac:dyDescent="0.25">
      <c r="A10" s="38"/>
      <c r="B10" s="34" t="s">
        <v>42</v>
      </c>
      <c r="C10" s="30"/>
    </row>
    <row r="11" spans="1:3" s="32" customFormat="1" ht="15" x14ac:dyDescent="0.25">
      <c r="A11" s="38"/>
      <c r="B11" s="34"/>
      <c r="C11" s="30"/>
    </row>
    <row r="12" spans="1:3" s="32" customFormat="1" ht="30" x14ac:dyDescent="0.25">
      <c r="A12" s="38"/>
      <c r="B12" s="34" t="s">
        <v>43</v>
      </c>
      <c r="C12" s="30"/>
    </row>
    <row r="13" spans="1:3" s="32" customFormat="1" ht="15" x14ac:dyDescent="0.25">
      <c r="A13" s="38"/>
      <c r="B13" s="34"/>
      <c r="C13" s="30"/>
    </row>
    <row r="14" spans="1:3" s="32" customFormat="1" ht="15" x14ac:dyDescent="0.25">
      <c r="A14" s="38"/>
      <c r="B14" s="54" t="s">
        <v>46</v>
      </c>
      <c r="C14" s="30"/>
    </row>
    <row r="15" spans="1:3" s="32" customFormat="1" ht="15" x14ac:dyDescent="0.25">
      <c r="A15" s="38"/>
      <c r="B15" s="34"/>
      <c r="C15" s="30"/>
    </row>
    <row r="16" spans="1:3" s="32" customFormat="1" ht="15.6" x14ac:dyDescent="0.3">
      <c r="A16" s="38"/>
      <c r="B16" s="53" t="s">
        <v>48</v>
      </c>
      <c r="C16" s="30"/>
    </row>
    <row r="17" spans="1:3" s="32" customFormat="1" ht="14.4" x14ac:dyDescent="0.25">
      <c r="A17" s="38"/>
      <c r="B17" s="39"/>
      <c r="C17" s="30"/>
    </row>
    <row r="18" spans="1:3" s="32" customFormat="1" ht="14.4" x14ac:dyDescent="0.25">
      <c r="A18" s="38"/>
      <c r="B18" s="39"/>
      <c r="C18" s="30"/>
    </row>
    <row r="19" spans="1:3" s="32" customFormat="1" ht="13.8" x14ac:dyDescent="0.25">
      <c r="A19" s="38"/>
      <c r="B19" s="40"/>
      <c r="C19" s="30"/>
    </row>
    <row r="20" spans="1:3" s="32" customFormat="1" ht="13.8" x14ac:dyDescent="0.25">
      <c r="A20" s="36"/>
      <c r="B20" s="40"/>
      <c r="C20" s="37"/>
    </row>
    <row r="21" spans="1:3" s="32" customFormat="1" ht="13.8" x14ac:dyDescent="0.25">
      <c r="A21" s="30"/>
      <c r="B21" s="41"/>
      <c r="C21" s="30"/>
    </row>
    <row r="22" spans="1:3" s="32" customFormat="1" ht="13.8" x14ac:dyDescent="0.25">
      <c r="A22" s="30"/>
      <c r="B22" s="41"/>
      <c r="C22" s="30"/>
    </row>
    <row r="23" spans="1:3" s="32" customFormat="1" ht="15.6" x14ac:dyDescent="0.3">
      <c r="A23" s="42"/>
      <c r="B23" s="43"/>
    </row>
    <row r="24" spans="1:3" s="32" customFormat="1" x14ac:dyDescent="0.25"/>
    <row r="25" spans="1:3" s="32" customFormat="1" ht="14.4" x14ac:dyDescent="0.3">
      <c r="A25" s="44"/>
      <c r="B25" s="45"/>
    </row>
    <row r="26" spans="1:3" s="32" customFormat="1" x14ac:dyDescent="0.25"/>
    <row r="27" spans="1:3" s="32" customFormat="1" ht="14.4" x14ac:dyDescent="0.3">
      <c r="A27" s="44"/>
      <c r="B27" s="45"/>
    </row>
    <row r="28" spans="1:3" s="32" customFormat="1" x14ac:dyDescent="0.25"/>
    <row r="29" spans="1:3" s="32" customFormat="1" ht="14.4" x14ac:dyDescent="0.3">
      <c r="A29" s="44"/>
      <c r="B29" s="46"/>
    </row>
    <row r="30" spans="1:3" s="32" customFormat="1" ht="13.8" x14ac:dyDescent="0.25">
      <c r="B30" s="47"/>
    </row>
    <row r="31" spans="1:3" s="32" customFormat="1" x14ac:dyDescent="0.25"/>
    <row r="32" spans="1:3" s="32" customFormat="1" x14ac:dyDescent="0.25"/>
  </sheetData>
  <hyperlinks>
    <hyperlink ref="B4" r:id="rId1" xr:uid="{00000000-0004-0000-0300-000000000000}"/>
    <hyperlink ref="B14"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Report</vt:lpstr>
      <vt:lpstr>EV</vt:lpstr>
      <vt:lpstr>AC</vt:lpstr>
      <vt:lpstr>©</vt:lpstr>
      <vt:lpstr>AC!Print_Area</vt:lpstr>
      <vt:lpstr>EV!Print_Area</vt:lpstr>
      <vt:lpstr>Report!Print_Area</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Earned Value Management Template</dc:title>
  <dc:subject/>
  <dc:creator>Vertex42.com</dc:creator>
  <dc:description>(c) 2012-2017 Vertex42 LLC. All Rights Reserved.</dc:description>
  <cp:lastModifiedBy>Leo Johnson</cp:lastModifiedBy>
  <cp:lastPrinted>2025-11-13T00:50:05Z</cp:lastPrinted>
  <dcterms:created xsi:type="dcterms:W3CDTF">2010-01-09T00:01:03Z</dcterms:created>
  <dcterms:modified xsi:type="dcterms:W3CDTF">2025-11-13T03:24:01Z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2012-2017 Vertex42 LLC</vt:lpwstr>
  </property>
  <property fmtid="{D5CDD505-2E9C-101B-9397-08002B2CF9AE}" pid="3" name="Source">
    <vt:lpwstr>https://www.vertex42.com/ExcelTemplates/earned-value-management.html</vt:lpwstr>
  </property>
  <property fmtid="{D5CDD505-2E9C-101B-9397-08002B2CF9AE}" pid="4" name="Version">
    <vt:lpwstr>1.1.1</vt:lpwstr>
  </property>
</Properties>
</file>